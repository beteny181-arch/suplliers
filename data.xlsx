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92F967C6-7734-4D01-8403-238CC423CF0F}" xr6:coauthVersionLast="47" xr6:coauthVersionMax="47" xr10:uidLastSave="{00000000-0000-0000-0000-000000000000}"/>
  <bookViews>
    <workbookView xWindow="-108" yWindow="-108" windowWidth="23256" windowHeight="12576" tabRatio="744" firstSheet="11" activeTab="17" xr2:uid="{00000000-000D-0000-FFFF-FFFF00000000}"/>
  </bookViews>
  <sheets>
    <sheet name="ابوعمر السوم " sheetId="1" r:id="rId1"/>
    <sheet name="الحج محمد جبر" sheetId="2" r:id="rId2"/>
    <sheet name="علاء محمد جبر" sheetId="14" r:id="rId3"/>
    <sheet name="ياسر الخراط" sheetId="3" r:id="rId4"/>
    <sheet name="الحج علاء حسن" sheetId="4" r:id="rId5"/>
    <sheet name="الماس" sheetId="17" r:id="rId6"/>
    <sheet name="احمد سعيد" sheetId="18" r:id="rId7"/>
    <sheet name="بلاط " sheetId="5" r:id="rId8"/>
    <sheet name="الحج جهاد عبدالمنعم" sheetId="6" r:id="rId9"/>
    <sheet name="الحج محسن حمدي" sheetId="9" r:id="rId10"/>
    <sheet name="السيد جحا" sheetId="13" r:id="rId11"/>
    <sheet name="الحج حسين البابا" sheetId="15" r:id="rId12"/>
    <sheet name="الحج محمد السيد" sheetId="16" r:id="rId13"/>
    <sheet name="الحج طلعت سليمان" sheetId="7" r:id="rId14"/>
    <sheet name="م محمد عبدالمنعم البرنس " sheetId="8" r:id="rId15"/>
    <sheet name="الحج مصطفي سالم" sheetId="10" r:id="rId16"/>
    <sheet name="الحج وليد مطر" sheetId="11" r:id="rId17"/>
    <sheet name="صيدلية التجمع" sheetId="12" r:id="rId18"/>
  </sheets>
  <externalReferences>
    <externalReference r:id="rId19"/>
  </externalReferences>
  <definedNames>
    <definedName name="_xlnm.Print_Area" localSheetId="4">'الحج علاء حسن'!$A$1:$F$156</definedName>
    <definedName name="_xlnm.Print_Titles" localSheetId="4">'الحج علاء حسن'!$2:$4</definedName>
    <definedName name="_xlnm.Print_Titles" localSheetId="1">'الحج محمد جبر'!$2:$4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8" l="1"/>
  <c r="M33" i="18"/>
  <c r="M32" i="18"/>
  <c r="M31" i="18"/>
  <c r="M30" i="18"/>
  <c r="M29" i="18"/>
  <c r="M28" i="18"/>
  <c r="M27" i="18"/>
  <c r="O27" i="18" s="1"/>
  <c r="O26" i="18"/>
  <c r="M26" i="18"/>
  <c r="M25" i="18"/>
  <c r="O25" i="18" s="1"/>
  <c r="M24" i="18"/>
  <c r="O24" i="18" s="1"/>
  <c r="M18" i="18"/>
  <c r="M17" i="18"/>
  <c r="M16" i="18"/>
  <c r="M15" i="18"/>
  <c r="M14" i="18"/>
  <c r="M13" i="18"/>
  <c r="M12" i="18"/>
  <c r="M11" i="18"/>
  <c r="O11" i="18" s="1"/>
  <c r="M10" i="18"/>
  <c r="O10" i="18" s="1"/>
  <c r="M9" i="18"/>
  <c r="O9" i="18" s="1"/>
  <c r="M8" i="18"/>
  <c r="O8" i="18" s="1"/>
  <c r="C6" i="18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C59" i="18" s="1"/>
  <c r="C60" i="18" s="1"/>
  <c r="C61" i="18" s="1"/>
  <c r="C62" i="18" s="1"/>
  <c r="C63" i="18" s="1"/>
  <c r="C64" i="18" s="1"/>
  <c r="C65" i="18" s="1"/>
  <c r="C66" i="18" s="1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109" i="18" s="1"/>
  <c r="C110" i="18" s="1"/>
  <c r="C111" i="18" s="1"/>
  <c r="C112" i="18" s="1"/>
  <c r="C113" i="18" s="1"/>
  <c r="C114" i="18" s="1"/>
  <c r="C115" i="18" s="1"/>
  <c r="C116" i="18" s="1"/>
  <c r="C117" i="18" s="1"/>
  <c r="C118" i="18" s="1"/>
  <c r="C119" i="18" s="1"/>
  <c r="C120" i="18" s="1"/>
  <c r="C121" i="18" s="1"/>
  <c r="C122" i="18" s="1"/>
  <c r="C123" i="18" s="1"/>
  <c r="C124" i="18" s="1"/>
  <c r="C125" i="18" s="1"/>
  <c r="C126" i="18" s="1"/>
  <c r="C127" i="18" s="1"/>
  <c r="C128" i="18" s="1"/>
  <c r="C129" i="18" s="1"/>
  <c r="C130" i="18" s="1"/>
  <c r="C131" i="18" s="1"/>
  <c r="C132" i="18" s="1"/>
  <c r="C133" i="18" s="1"/>
  <c r="C134" i="18" s="1"/>
  <c r="C135" i="18" s="1"/>
  <c r="C136" i="18" s="1"/>
  <c r="C137" i="18" s="1"/>
  <c r="C138" i="18" s="1"/>
  <c r="C139" i="18" s="1"/>
  <c r="C140" i="18" s="1"/>
  <c r="C141" i="18" s="1"/>
  <c r="C142" i="18" s="1"/>
  <c r="C143" i="18" s="1"/>
  <c r="C144" i="18" s="1"/>
  <c r="C145" i="18" s="1"/>
  <c r="C146" i="18" s="1"/>
  <c r="C147" i="18" s="1"/>
  <c r="C148" i="18" s="1"/>
  <c r="C151" i="18" s="1"/>
  <c r="B2" i="18"/>
  <c r="A2" i="18"/>
  <c r="O28" i="18" l="1"/>
  <c r="O29" i="18" s="1"/>
  <c r="O30" i="18" s="1"/>
  <c r="O31" i="18" s="1"/>
  <c r="O32" i="18" s="1"/>
  <c r="O33" i="18" s="1"/>
  <c r="O34" i="18" s="1"/>
  <c r="O12" i="18"/>
  <c r="O13" i="18" s="1"/>
  <c r="O14" i="18" s="1"/>
  <c r="O15" i="18" s="1"/>
  <c r="O16" i="18" s="1"/>
  <c r="O17" i="18" s="1"/>
  <c r="O18" i="18" s="1"/>
  <c r="C2" i="18"/>
  <c r="K4" i="10" l="1"/>
  <c r="C37" i="2"/>
  <c r="C38" i="2" s="1"/>
  <c r="C39" i="2" s="1"/>
  <c r="C40" i="2" s="1"/>
  <c r="C41" i="2" s="1"/>
  <c r="C42" i="2" s="1"/>
  <c r="C43" i="2" s="1"/>
  <c r="C38" i="1"/>
  <c r="C39" i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O45" i="17"/>
  <c r="N95" i="17"/>
  <c r="N86" i="17"/>
  <c r="N87" i="17"/>
  <c r="N88" i="17"/>
  <c r="N89" i="17"/>
  <c r="N90" i="17"/>
  <c r="N91" i="17"/>
  <c r="N92" i="17"/>
  <c r="N93" i="17"/>
  <c r="N94" i="17"/>
  <c r="N101" i="17"/>
  <c r="N100" i="17"/>
  <c r="N99" i="17"/>
  <c r="N98" i="17"/>
  <c r="N97" i="17"/>
  <c r="N96" i="17"/>
  <c r="N85" i="17"/>
  <c r="N84" i="17"/>
  <c r="C44" i="2" l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P95" i="17"/>
  <c r="P96" i="17" s="1"/>
  <c r="P97" i="17" s="1"/>
  <c r="P98" i="17" s="1"/>
  <c r="P99" i="17" s="1"/>
  <c r="P100" i="17" s="1"/>
  <c r="P101" i="17" s="1"/>
  <c r="I29" i="7" l="1"/>
  <c r="L20" i="11"/>
  <c r="L21" i="11" s="1"/>
  <c r="L22" i="11" s="1"/>
  <c r="L23" i="11" s="1"/>
  <c r="L24" i="11" s="1"/>
  <c r="L25" i="11" s="1"/>
  <c r="L26" i="11" s="1"/>
  <c r="L27" i="11" s="1"/>
  <c r="K235" i="2" l="1"/>
  <c r="K234" i="2"/>
  <c r="K233" i="2"/>
  <c r="K61" i="7" l="1"/>
  <c r="M61" i="7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J9" i="10" l="1"/>
  <c r="M53" i="17" l="1"/>
  <c r="O53" i="17" s="1"/>
  <c r="M54" i="17"/>
  <c r="O54" i="17" s="1"/>
  <c r="J69" i="17"/>
  <c r="M46" i="17"/>
  <c r="O46" i="17" s="1"/>
  <c r="M47" i="17"/>
  <c r="O47" i="17" s="1"/>
  <c r="M48" i="17"/>
  <c r="O48" i="17" s="1"/>
  <c r="M49" i="17"/>
  <c r="O49" i="17" s="1"/>
  <c r="M50" i="17"/>
  <c r="O50" i="17" s="1"/>
  <c r="M51" i="17"/>
  <c r="O51" i="17" s="1"/>
  <c r="M52" i="17"/>
  <c r="O52" i="17" s="1"/>
  <c r="B12" i="17"/>
  <c r="M62" i="17" l="1"/>
  <c r="M61" i="17"/>
  <c r="M60" i="17"/>
  <c r="M59" i="17"/>
  <c r="M58" i="17"/>
  <c r="M57" i="17"/>
  <c r="M56" i="17"/>
  <c r="M55" i="17"/>
  <c r="O55" i="17" s="1"/>
  <c r="M45" i="17"/>
  <c r="O56" i="17" l="1"/>
  <c r="O57" i="17" s="1"/>
  <c r="O58" i="17" s="1"/>
  <c r="O59" i="17" s="1"/>
  <c r="O60" i="17" s="1"/>
  <c r="O61" i="17" s="1"/>
  <c r="O62" i="17" s="1"/>
  <c r="M8" i="9" l="1"/>
  <c r="M9" i="9"/>
  <c r="M10" i="9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L9" i="6"/>
  <c r="L10" i="6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K8" i="5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L8" i="4"/>
  <c r="N8" i="4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M8" i="7" l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J243" i="2" l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L210" i="2"/>
  <c r="L211" i="2" s="1"/>
  <c r="L212" i="2" s="1"/>
  <c r="L213" i="2" s="1"/>
  <c r="O198" i="2"/>
  <c r="K195" i="2"/>
  <c r="K192" i="2"/>
  <c r="K190" i="2"/>
  <c r="K187" i="2"/>
  <c r="K185" i="2"/>
  <c r="K183" i="2"/>
  <c r="K181" i="2"/>
  <c r="J179" i="2"/>
  <c r="L179" i="2" s="1"/>
  <c r="L180" i="2" s="1"/>
  <c r="K174" i="2"/>
  <c r="M141" i="2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08" i="2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K73" i="2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K41" i="2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J8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214" i="2" l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181" i="2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F15" i="2"/>
  <c r="F17" i="2" s="1"/>
  <c r="A15" i="2"/>
  <c r="M38" i="17" l="1"/>
  <c r="M37" i="17"/>
  <c r="M36" i="17"/>
  <c r="M35" i="17"/>
  <c r="M34" i="17"/>
  <c r="M33" i="17"/>
  <c r="M32" i="17"/>
  <c r="M31" i="17"/>
  <c r="O31" i="17" s="1"/>
  <c r="M30" i="17"/>
  <c r="O30" i="17" s="1"/>
  <c r="M29" i="17"/>
  <c r="O29" i="17" s="1"/>
  <c r="M28" i="17"/>
  <c r="O28" i="17" s="1"/>
  <c r="M27" i="17"/>
  <c r="O27" i="17" s="1"/>
  <c r="M18" i="17"/>
  <c r="M17" i="17"/>
  <c r="N16" i="17"/>
  <c r="M16" i="17"/>
  <c r="N15" i="17"/>
  <c r="M15" i="17"/>
  <c r="N14" i="17"/>
  <c r="M14" i="17"/>
  <c r="M13" i="17"/>
  <c r="M12" i="17"/>
  <c r="M11" i="17"/>
  <c r="O11" i="17" s="1"/>
  <c r="M10" i="17"/>
  <c r="O10" i="17" s="1"/>
  <c r="M9" i="17"/>
  <c r="O9" i="17" s="1"/>
  <c r="M8" i="17"/>
  <c r="O8" i="17" s="1"/>
  <c r="O32" i="17" l="1"/>
  <c r="O33" i="17" s="1"/>
  <c r="O34" i="17" s="1"/>
  <c r="O35" i="17" s="1"/>
  <c r="O36" i="17" s="1"/>
  <c r="O37" i="17" s="1"/>
  <c r="O38" i="17" s="1"/>
  <c r="O12" i="17"/>
  <c r="O13" i="17" s="1"/>
  <c r="O14" i="17" s="1"/>
  <c r="O15" i="17" s="1"/>
  <c r="O16" i="17" s="1"/>
  <c r="O17" i="17" s="1"/>
  <c r="O18" i="17" s="1"/>
  <c r="C6" i="17" l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B2" i="17"/>
  <c r="A2" i="17"/>
  <c r="C44" i="17" l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51" i="17" s="1"/>
  <c r="C2" i="17"/>
  <c r="A25" i="3" l="1"/>
  <c r="K6" i="1" l="1"/>
  <c r="M6" i="1" s="1"/>
  <c r="M5" i="1"/>
  <c r="M7" i="1" l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L25" i="15"/>
  <c r="L26" i="15" s="1"/>
  <c r="L27" i="15" s="1"/>
  <c r="L28" i="15" s="1"/>
  <c r="L29" i="15" s="1"/>
  <c r="L30" i="15" s="1"/>
  <c r="L31" i="15" s="1"/>
  <c r="L32" i="15" s="1"/>
  <c r="L33" i="15" s="1"/>
  <c r="L24" i="15"/>
  <c r="B6" i="16"/>
  <c r="B2" i="16" s="1"/>
  <c r="J8" i="16"/>
  <c r="L8" i="16" s="1"/>
  <c r="L9" i="16" s="1"/>
  <c r="L10" i="16" s="1"/>
  <c r="L11" i="16" s="1"/>
  <c r="L12" i="16" s="1"/>
  <c r="L13" i="16" s="1"/>
  <c r="L14" i="16" s="1"/>
  <c r="L15" i="16" s="1"/>
  <c r="L16" i="16" s="1"/>
  <c r="L17" i="16" s="1"/>
  <c r="L18" i="16" s="1"/>
  <c r="A2" i="16"/>
  <c r="J9" i="15"/>
  <c r="L10" i="15" s="1"/>
  <c r="L11" i="15" s="1"/>
  <c r="L12" i="15" s="1"/>
  <c r="L13" i="15" s="1"/>
  <c r="L14" i="15" s="1"/>
  <c r="L15" i="15" s="1"/>
  <c r="L16" i="15" s="1"/>
  <c r="C6" i="16" l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C146" i="16" s="1"/>
  <c r="C147" i="16" s="1"/>
  <c r="C148" i="16" s="1"/>
  <c r="C149" i="16" s="1"/>
  <c r="C150" i="16" s="1"/>
  <c r="C151" i="16" s="1"/>
  <c r="C152" i="16" s="1"/>
  <c r="C153" i="16" s="1"/>
  <c r="L17" i="15"/>
  <c r="L18" i="15" s="1"/>
  <c r="L19" i="15" s="1"/>
  <c r="C2" i="16"/>
  <c r="L9" i="15"/>
  <c r="C6" i="15" l="1"/>
  <c r="C7" i="15" s="1"/>
  <c r="C8" i="15" s="1"/>
  <c r="C9" i="15" s="1"/>
  <c r="B2" i="15"/>
  <c r="A2" i="15"/>
  <c r="C10" i="15" l="1"/>
  <c r="C11" i="15" s="1"/>
  <c r="C12" i="15" s="1"/>
  <c r="C13" i="15" s="1"/>
  <c r="C2" i="15"/>
  <c r="C14" i="15" l="1"/>
  <c r="C15" i="15" s="1"/>
  <c r="K147" i="3"/>
  <c r="M91" i="3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63" i="3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30" i="3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K8" i="3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4" i="3" s="1"/>
  <c r="M25" i="3" s="1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B2" i="3"/>
  <c r="A2" i="3"/>
  <c r="C23" i="3" l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6" i="3" s="1"/>
  <c r="C2" i="3"/>
  <c r="C16" i="15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B6" i="14" l="1"/>
  <c r="L10" i="14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C6" i="14"/>
  <c r="C7" i="14" s="1"/>
  <c r="C8" i="14" s="1"/>
  <c r="C9" i="14" s="1"/>
  <c r="C10" i="14" s="1"/>
  <c r="C11" i="14" s="1"/>
  <c r="C12" i="14" s="1"/>
  <c r="C13" i="14" s="1"/>
  <c r="B2" i="14"/>
  <c r="A2" i="14"/>
  <c r="C14" i="14" l="1"/>
  <c r="C15" i="14" s="1"/>
  <c r="C16" i="14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2" i="14"/>
  <c r="K10" i="12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C6" i="12"/>
  <c r="B2" i="12"/>
  <c r="M10" i="12" l="1"/>
  <c r="C7" i="12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50" i="12" s="1"/>
  <c r="A2" i="12"/>
  <c r="C2" i="12" s="1"/>
  <c r="L9" i="13" l="1"/>
  <c r="L10" i="13" s="1"/>
  <c r="L11" i="13" s="1"/>
  <c r="L12" i="13" s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C146" i="13" s="1"/>
  <c r="C147" i="13" s="1"/>
  <c r="C148" i="13" s="1"/>
  <c r="C149" i="13" s="1"/>
  <c r="C150" i="13" s="1"/>
  <c r="C151" i="13" s="1"/>
  <c r="C152" i="13" s="1"/>
  <c r="B2" i="13"/>
  <c r="A2" i="13"/>
  <c r="C2" i="13" s="1"/>
  <c r="L9" i="11" l="1"/>
  <c r="L10" i="11" s="1"/>
  <c r="L11" i="11" s="1"/>
  <c r="L12" i="11" s="1"/>
  <c r="L13" i="11" s="1"/>
  <c r="L14" i="11" s="1"/>
  <c r="L15" i="11" s="1"/>
  <c r="L16" i="11" s="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B2" i="11"/>
  <c r="A2" i="11"/>
  <c r="C2" i="11" l="1"/>
  <c r="L9" i="10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B7" i="10"/>
  <c r="B6" i="10"/>
  <c r="B2" i="10" s="1"/>
  <c r="A2" i="10"/>
  <c r="C2" i="10" l="1"/>
  <c r="C6" i="10"/>
  <c r="C7" i="10" s="1"/>
  <c r="C8" i="10" s="1"/>
  <c r="C9" i="10" s="1"/>
  <c r="C10" i="10" s="1"/>
  <c r="C11" i="10" s="1"/>
  <c r="C12" i="10" s="1"/>
  <c r="C13" i="10" s="1"/>
  <c r="C14" i="10" s="1"/>
  <c r="C15" i="10" s="1"/>
  <c r="C16" i="10" l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50" i="10" s="1"/>
  <c r="L9" i="8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C6" i="8"/>
  <c r="C7" i="8" s="1"/>
  <c r="C8" i="8" s="1"/>
  <c r="C9" i="8" s="1"/>
  <c r="C10" i="8" s="1"/>
  <c r="C11" i="8" s="1"/>
  <c r="C12" i="8" s="1"/>
  <c r="C13" i="8" s="1"/>
  <c r="C14" i="8" s="1"/>
  <c r="C15" i="8" s="1"/>
  <c r="B2" i="8"/>
  <c r="A2" i="8"/>
  <c r="C2" i="8" l="1"/>
  <c r="C16" i="8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K32" i="9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C6" i="9"/>
  <c r="C7" i="9" s="1"/>
  <c r="C8" i="9" s="1"/>
  <c r="C9" i="9" s="1"/>
  <c r="C10" i="9" s="1"/>
  <c r="C11" i="9" s="1"/>
  <c r="C12" i="9" s="1"/>
  <c r="C13" i="9" s="1"/>
  <c r="C14" i="9" s="1"/>
  <c r="C15" i="9" s="1"/>
  <c r="B2" i="9"/>
  <c r="A2" i="9"/>
  <c r="C16" i="9" l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7" i="9" s="1"/>
  <c r="C2" i="9"/>
  <c r="M35" i="7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B2" i="7"/>
  <c r="A2" i="7"/>
  <c r="C2" i="7" l="1"/>
  <c r="C20" i="7"/>
  <c r="C21" i="7" s="1"/>
  <c r="C22" i="7" s="1"/>
  <c r="N116" i="4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L92" i="4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L64" i="4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40" i="4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C6" i="4"/>
  <c r="C7" i="4" s="1"/>
  <c r="B2" i="4"/>
  <c r="A2" i="4"/>
  <c r="C23" i="7" l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2" i="4"/>
  <c r="C6" i="6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B2" i="6"/>
  <c r="A2" i="6"/>
  <c r="C2" i="6" l="1"/>
  <c r="C33" i="4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6" i="4" s="1"/>
  <c r="B6" i="5"/>
  <c r="B2" i="5" s="1"/>
  <c r="A2" i="5"/>
  <c r="C6" i="5" l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5" i="5" s="1"/>
  <c r="C2" i="5"/>
  <c r="B11" i="2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B2" i="2"/>
  <c r="A2" i="2"/>
  <c r="C33" i="2" l="1"/>
  <c r="C34" i="2" s="1"/>
  <c r="C35" i="2" s="1"/>
  <c r="C36" i="2" s="1"/>
  <c r="C2" i="2"/>
  <c r="M216" i="1"/>
  <c r="M217" i="1" s="1"/>
  <c r="M218" i="1" s="1"/>
  <c r="M219" i="1" s="1"/>
  <c r="M220" i="1" s="1"/>
  <c r="M221" i="1" s="1"/>
  <c r="M222" i="1" s="1"/>
  <c r="M223" i="1" s="1"/>
  <c r="M224" i="1" s="1"/>
  <c r="M225" i="1" s="1"/>
  <c r="M198" i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179" i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59" i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58" i="1"/>
  <c r="M143" i="1"/>
  <c r="M144" i="1" s="1"/>
  <c r="M145" i="1" s="1"/>
  <c r="M146" i="1" s="1"/>
  <c r="M147" i="1" s="1"/>
  <c r="M148" i="1" s="1"/>
  <c r="M149" i="1" s="1"/>
  <c r="M150" i="1" s="1"/>
  <c r="M151" i="1" s="1"/>
  <c r="M152" i="1" s="1"/>
  <c r="M142" i="1"/>
  <c r="K120" i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98" i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K76" i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K52" i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K29" i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2" i="1"/>
  <c r="A2" i="1"/>
  <c r="C2" i="1" l="1"/>
  <c r="C23" i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G55" i="2" l="1"/>
</calcChain>
</file>

<file path=xl/sharedStrings.xml><?xml version="1.0" encoding="utf-8"?>
<sst xmlns="http://schemas.openxmlformats.org/spreadsheetml/2006/main" count="1824" uniqueCount="590">
  <si>
    <t>الحج حسام عبدالعليم السوم</t>
  </si>
  <si>
    <t>اقساط معدات</t>
  </si>
  <si>
    <t>مدين</t>
  </si>
  <si>
    <t>دائن</t>
  </si>
  <si>
    <t>الرصيد</t>
  </si>
  <si>
    <t>البيان</t>
  </si>
  <si>
    <t>التاريخ</t>
  </si>
  <si>
    <t>ملاحظات</t>
  </si>
  <si>
    <t>لودر 2</t>
  </si>
  <si>
    <t>30/7/2025</t>
  </si>
  <si>
    <t>لودر 66</t>
  </si>
  <si>
    <t>20/10/2025</t>
  </si>
  <si>
    <t>حفار 3</t>
  </si>
  <si>
    <t>15/4/2025</t>
  </si>
  <si>
    <t>حفار 4</t>
  </si>
  <si>
    <t>20/7/2025</t>
  </si>
  <si>
    <t>مرسيدس 6 و7</t>
  </si>
  <si>
    <t>20/6/2025</t>
  </si>
  <si>
    <t>سيارة 9</t>
  </si>
  <si>
    <t>30/8/2025</t>
  </si>
  <si>
    <t>ايداع لسداد اول قسط حفار رقم 3(السوم)</t>
  </si>
  <si>
    <t>ابوعمر السوم من مبلغ لودر80 h القديم</t>
  </si>
  <si>
    <t>السوم تحويل قسط حفار فولفو 3</t>
  </si>
  <si>
    <t>السوم قسط حفار 3</t>
  </si>
  <si>
    <t xml:space="preserve">السوم سيارات نقل </t>
  </si>
  <si>
    <t>ابوعمر السوم من أقساط شهر 7</t>
  </si>
  <si>
    <t>السوم جزء من مستحقات شهر 9</t>
  </si>
  <si>
    <t xml:space="preserve">السوم من أقساط معدات </t>
  </si>
  <si>
    <t>دفعة</t>
  </si>
  <si>
    <t>14/1/2025</t>
  </si>
  <si>
    <t>محمود كاش بالخصم من السوم</t>
  </si>
  <si>
    <t>فرق رصيد افتتاحي</t>
  </si>
  <si>
    <t xml:space="preserve">قيمه شراء اصل ثابت  حفار 9 </t>
  </si>
  <si>
    <t xml:space="preserve">قيمه شراء اصل ثابت  لودر 8  H80 </t>
  </si>
  <si>
    <t xml:space="preserve">قيمه شراء اصل ثابت  بلدوزر 7  T </t>
  </si>
  <si>
    <t>بيع لودر 1</t>
  </si>
  <si>
    <t>مقدم بلدوزر 7 (السوم )</t>
  </si>
  <si>
    <t>المعدة :</t>
  </si>
  <si>
    <t>لودر 80H2</t>
  </si>
  <si>
    <t>التاجر : ابوعمر السوم</t>
  </si>
  <si>
    <t>م</t>
  </si>
  <si>
    <t>اجمالي المبلغ</t>
  </si>
  <si>
    <t>الدفعة</t>
  </si>
  <si>
    <t>المتنبقي</t>
  </si>
  <si>
    <t>رصيد اقساط</t>
  </si>
  <si>
    <t>تم</t>
  </si>
  <si>
    <t>حفار فولفو رقم 4</t>
  </si>
  <si>
    <t>البنك : الاهلي</t>
  </si>
  <si>
    <t>القسط 200الف</t>
  </si>
  <si>
    <t>لودر 66g1</t>
  </si>
  <si>
    <t>البنك : الاهلي (ش علي)</t>
  </si>
  <si>
    <t>خالص</t>
  </si>
  <si>
    <t>حفار فولفو رقم 3</t>
  </si>
  <si>
    <t>التاجر :السوم</t>
  </si>
  <si>
    <t>البنك :cib</t>
  </si>
  <si>
    <t>المقدم</t>
  </si>
  <si>
    <t>تم سحب الشيك من البنك</t>
  </si>
  <si>
    <t>سيارات مرسيدس رقم 6و7</t>
  </si>
  <si>
    <t>تم دفع المقدم</t>
  </si>
  <si>
    <t>باقي المقدم</t>
  </si>
  <si>
    <t>سيارة رقم 9</t>
  </si>
  <si>
    <t>المقدم من لودر50</t>
  </si>
  <si>
    <t>حفار 500</t>
  </si>
  <si>
    <t>العميل : ابوعمر السوم (سمارت للمقاولات العامة)</t>
  </si>
  <si>
    <t>البنك: CIB</t>
  </si>
  <si>
    <t>30/5/2025</t>
  </si>
  <si>
    <t xml:space="preserve">تم السداد </t>
  </si>
  <si>
    <t>30/9/2025</t>
  </si>
  <si>
    <t>30/10/2025</t>
  </si>
  <si>
    <t>30/11/2025</t>
  </si>
  <si>
    <t>لودر 80H(لودر 7)</t>
  </si>
  <si>
    <t>المقدم تم والشيك موجود</t>
  </si>
  <si>
    <t>12شيك *370 الف</t>
  </si>
  <si>
    <t>30/12/2025</t>
  </si>
  <si>
    <t>30/1/2026</t>
  </si>
  <si>
    <t>28/2/2026</t>
  </si>
  <si>
    <t>30/3/2026</t>
  </si>
  <si>
    <t>30/4/2026</t>
  </si>
  <si>
    <t>30/5/2026</t>
  </si>
  <si>
    <t>30/6/2026</t>
  </si>
  <si>
    <t>لودر 8</t>
  </si>
  <si>
    <t>10شيك *500 الف</t>
  </si>
  <si>
    <t>بلدوزر 7</t>
  </si>
  <si>
    <t xml:space="preserve">البنك : cib </t>
  </si>
  <si>
    <t>10شيك *مليون</t>
  </si>
  <si>
    <t>بلدوزر 8</t>
  </si>
  <si>
    <t>8شيك *مليون</t>
  </si>
  <si>
    <t>الحج محمد احمد محمد جبر</t>
  </si>
  <si>
    <t>سوبارو</t>
  </si>
  <si>
    <t>جامبو</t>
  </si>
  <si>
    <t>15/5/2024</t>
  </si>
  <si>
    <t>دبابة 2025(1و2)</t>
  </si>
  <si>
    <t>30/8/2024</t>
  </si>
  <si>
    <t>دبابة 2025(3)</t>
  </si>
  <si>
    <t>30/9/2024</t>
  </si>
  <si>
    <t>دبابة 2 و4</t>
  </si>
  <si>
    <t>30/1/2025</t>
  </si>
  <si>
    <t>شاكوش حفار وسيارة شيفروليه</t>
  </si>
  <si>
    <t>15/5/2025</t>
  </si>
  <si>
    <t>حفار دوسان</t>
  </si>
  <si>
    <t>15/2/2024</t>
  </si>
  <si>
    <t>دبابة مباعة (لسداد مقدم سيارة مرسيدس للسوم)</t>
  </si>
  <si>
    <t>15/7/2024</t>
  </si>
  <si>
    <t xml:space="preserve">2دبابة </t>
  </si>
  <si>
    <t xml:space="preserve">تحويل </t>
  </si>
  <si>
    <t>خصم من الحج محمد جبر</t>
  </si>
  <si>
    <t xml:space="preserve">قيمه شراء اصل ثابت  سيارة دبابة 2026 رقم 1 </t>
  </si>
  <si>
    <t xml:space="preserve">قيمه شراء اصل ثابت  سيارة دبابة 2026 رقم 2 </t>
  </si>
  <si>
    <t xml:space="preserve">قيمه شراء اصل ثابت  سيارة دبابة 2026 رقم 3 </t>
  </si>
  <si>
    <t xml:space="preserve">قيمه شراء اصل ثابت  سيارة جامبو 2023 رقم 1 </t>
  </si>
  <si>
    <t xml:space="preserve">قيمه شراء اصل ثابت  سيارة جامبو 2023 رقم 2 </t>
  </si>
  <si>
    <t>سيارة سبورتاج ملاكي</t>
  </si>
  <si>
    <t>الحج احمد بلاط</t>
  </si>
  <si>
    <t>سيارات 10-11-12-13-14-15</t>
  </si>
  <si>
    <t xml:space="preserve">الحج احمد بلاط مقدم 6 سيارات نقل </t>
  </si>
  <si>
    <t xml:space="preserve">الحج احمد بلاط من أقساط سيارات </t>
  </si>
  <si>
    <t xml:space="preserve">الحج احمد بلاط من أقساط معدات </t>
  </si>
  <si>
    <t>قسط</t>
  </si>
  <si>
    <t>فرق الافتتاحي</t>
  </si>
  <si>
    <t>سيارات 10و11و12و13و14و15</t>
  </si>
  <si>
    <t>التاجر : احمد عبدالحميد احمد الغريب بلاط</t>
  </si>
  <si>
    <t>البنك : الاهلي (ش هاني)</t>
  </si>
  <si>
    <t>مقدم</t>
  </si>
  <si>
    <t>تم السداد والشيكات موجودة</t>
  </si>
  <si>
    <t>الحج جهاد عبدالمنعم حسين</t>
  </si>
  <si>
    <t>قيمة شراء اصل ثابت حفار 500</t>
  </si>
  <si>
    <t>15/12/2025</t>
  </si>
  <si>
    <t>نقدي من المقدم</t>
  </si>
  <si>
    <t>من المقدم</t>
  </si>
  <si>
    <t>من حفار 10</t>
  </si>
  <si>
    <t>بيع حفار 2</t>
  </si>
  <si>
    <t>دفعة من بيع حفار 2</t>
  </si>
  <si>
    <t>التاجر :الحج جهاد عبدالمنعم حسين</t>
  </si>
  <si>
    <t>بنك cib</t>
  </si>
  <si>
    <t>نقدي</t>
  </si>
  <si>
    <t>تحويل بنك مصر الي cib</t>
  </si>
  <si>
    <t>تم السداد</t>
  </si>
  <si>
    <t>الحج علاء حسن اسماعيل راشد</t>
  </si>
  <si>
    <t>قيمة شراء اصل ثابت سيارة 8</t>
  </si>
  <si>
    <t>20/7/2024</t>
  </si>
  <si>
    <t>قيمة شراء اصل ثابت لودر 80 g</t>
  </si>
  <si>
    <t>15/8/2024</t>
  </si>
  <si>
    <t>قيمة شراء اصل ثابت حفار 6 و7 وبلدوزر 355</t>
  </si>
  <si>
    <t>30/11/2024</t>
  </si>
  <si>
    <t>قيمة شراء اصل ثابت سيارة سوبارو</t>
  </si>
  <si>
    <t>قيمة شراء اصل ثابت جليدر 140</t>
  </si>
  <si>
    <t xml:space="preserve">مقدم لودر 80 G  </t>
  </si>
  <si>
    <t xml:space="preserve"> قسط سيارة 8</t>
  </si>
  <si>
    <t>قسط سيارة 8 +لودر شهر 8</t>
  </si>
  <si>
    <t xml:space="preserve"> مستحقات شهر 9</t>
  </si>
  <si>
    <t xml:space="preserve">دفعة من أقساط معدات </t>
  </si>
  <si>
    <t>اقساط</t>
  </si>
  <si>
    <t>16/4/2025</t>
  </si>
  <si>
    <t>من مقدم السوبارو</t>
  </si>
  <si>
    <t>بيع لودر 3 للحج علاء</t>
  </si>
  <si>
    <t>21/1/2026</t>
  </si>
  <si>
    <t>سيارة مرسيدس رقم 8</t>
  </si>
  <si>
    <t>التاجر : علاء حسن اسماعيل راشد</t>
  </si>
  <si>
    <t>البنك :الاهلي المصري(الشيخ هاني)</t>
  </si>
  <si>
    <t>قيمة القسط 200الف جنيه</t>
  </si>
  <si>
    <t>لودر80G2</t>
  </si>
  <si>
    <t>مبلغ اللودر</t>
  </si>
  <si>
    <t>حفار 6و7وبلدوزر 90</t>
  </si>
  <si>
    <t>البنك :عودة (الشيخ علي)</t>
  </si>
  <si>
    <t>اجمالي المبلغ 7مليون جنيه(حفار 6=)(وحفار 7=)( وبلدوزر 90=)</t>
  </si>
  <si>
    <t>سيارة ملاكي سوبارو</t>
  </si>
  <si>
    <t>البنك :</t>
  </si>
  <si>
    <t>جليدر 140</t>
  </si>
  <si>
    <t>4قساط مجمعة</t>
  </si>
  <si>
    <t>الحج طلعت سليمان</t>
  </si>
  <si>
    <t>بيع</t>
  </si>
  <si>
    <t>15دبابة تورق</t>
  </si>
  <si>
    <t>تورق 10 نقل 12 قسط</t>
  </si>
  <si>
    <t xml:space="preserve">10 دبابة </t>
  </si>
  <si>
    <t>تورق 5 دبابة /12شهر (142708.33)</t>
  </si>
  <si>
    <t/>
  </si>
  <si>
    <t>قيمة مقدم حفار 14</t>
  </si>
  <si>
    <t>10دبابة تورق</t>
  </si>
  <si>
    <t>تورق 10 دبابات/12 شهر 277500ج من 1-2026</t>
  </si>
  <si>
    <t xml:space="preserve">بيع 10 دبابات </t>
  </si>
  <si>
    <t>سحب شيك بنك مصر</t>
  </si>
  <si>
    <t>15دبابة</t>
  </si>
  <si>
    <t>التاجر :الحج طلعت سليمان موسي</t>
  </si>
  <si>
    <t>10دبابة</t>
  </si>
  <si>
    <t>الحج محسن حمدي ابراهيم</t>
  </si>
  <si>
    <t>اقساط معدات (بلدوزر 5و6+لودر 10)</t>
  </si>
  <si>
    <t xml:space="preserve">قيمه شراء اصل ثابت  بلدوزر كاتر 5 </t>
  </si>
  <si>
    <t xml:space="preserve">قيمه شراء اصل ثابت  بلدوزر 6 </t>
  </si>
  <si>
    <t xml:space="preserve">قيمه شراء اصل ثابت  لودر 10 </t>
  </si>
  <si>
    <t>مقدم بلدوزر 5</t>
  </si>
  <si>
    <t>مقدم لودر 10</t>
  </si>
  <si>
    <t>مقدم لودر</t>
  </si>
  <si>
    <t xml:space="preserve">ضم حساب الحج محمود عبدالعزيز </t>
  </si>
  <si>
    <t>بلدوزر كاتر 5</t>
  </si>
  <si>
    <t>التاجر :الحج محسن حمدي ابراهيم</t>
  </si>
  <si>
    <t>30/7/2026</t>
  </si>
  <si>
    <t>30/8/2026</t>
  </si>
  <si>
    <t>30/9/2026</t>
  </si>
  <si>
    <t>بلدوزر 6+لودر 10</t>
  </si>
  <si>
    <t>13مليون بلدوزر6+5.5مليون لودر 10</t>
  </si>
  <si>
    <t>10شيكات بقيمة 14 مليون</t>
  </si>
  <si>
    <t>مقدم البلدوزر (تم السداد)</t>
  </si>
  <si>
    <t>مقدم اللودر (تم السداد)</t>
  </si>
  <si>
    <t>الحج محمد عبدالمنعم البرنس</t>
  </si>
  <si>
    <t>قيمة شراء اصل ثابت لودر 9</t>
  </si>
  <si>
    <t>26/11/2026</t>
  </si>
  <si>
    <t>14/1/2026</t>
  </si>
  <si>
    <t>16/2/2026</t>
  </si>
  <si>
    <t>لودر 9(80)</t>
  </si>
  <si>
    <t>التاجر : محمد عبدالمنعم البرنس</t>
  </si>
  <si>
    <t>سحب شيك من بنك مصر</t>
  </si>
  <si>
    <t>الحج مصطفي سالم منصور</t>
  </si>
  <si>
    <t>اقساط حفار 11و12و13</t>
  </si>
  <si>
    <t>قيمة شراء اصل حفار 11</t>
  </si>
  <si>
    <t>قيمة شراء اصل حفار 12</t>
  </si>
  <si>
    <t>قيمة شراء اصل حفار 13</t>
  </si>
  <si>
    <t>مقدمات حفارات 11.12.13</t>
  </si>
  <si>
    <t>من مقدم حفار 11و12و13</t>
  </si>
  <si>
    <t>خصم من مبلغ اجمالي شراء حفار 11و12و13</t>
  </si>
  <si>
    <t>حفار 11و12و13</t>
  </si>
  <si>
    <t>التاجر :الحج  مصطفي سالم منصور</t>
  </si>
  <si>
    <t>مقدم (تم السداد)</t>
  </si>
  <si>
    <t>الحج وليد مطر</t>
  </si>
  <si>
    <t>شراء اصل ثابت لودر 11(66)</t>
  </si>
  <si>
    <t>27/11/2026</t>
  </si>
  <si>
    <t>سحب من البنك</t>
  </si>
  <si>
    <t>لودر 11(66)</t>
  </si>
  <si>
    <t>التاجر :الحج وليد مطر</t>
  </si>
  <si>
    <t>قيمة شراء اصل ثابت لودر 11(66)</t>
  </si>
  <si>
    <t>الحج السيد احمد جحا</t>
  </si>
  <si>
    <t>قيمة شراء اصل ثابت حفار 14</t>
  </si>
  <si>
    <t>دفعة من المقدم</t>
  </si>
  <si>
    <t>17/12/2025</t>
  </si>
  <si>
    <t>20/12/2025</t>
  </si>
  <si>
    <t>حفار14</t>
  </si>
  <si>
    <t>التاجر :الحج السيد احمد امين حمودة</t>
  </si>
  <si>
    <t>15/3/2026</t>
  </si>
  <si>
    <t>15/4/2026</t>
  </si>
  <si>
    <t>15/5/2026</t>
  </si>
  <si>
    <t>15/6/2026</t>
  </si>
  <si>
    <t>15/7/2026</t>
  </si>
  <si>
    <t>15/8/2026</t>
  </si>
  <si>
    <t>15/9/2026</t>
  </si>
  <si>
    <t>15/10/2026</t>
  </si>
  <si>
    <t>15/11/2026</t>
  </si>
  <si>
    <t>15/12/2026</t>
  </si>
  <si>
    <t>15/1/2027</t>
  </si>
  <si>
    <t>15/2/2027</t>
  </si>
  <si>
    <t>حفار 14</t>
  </si>
  <si>
    <t>صيدلية التجمع  (w`s pharmacy )</t>
  </si>
  <si>
    <t>المطور :</t>
  </si>
  <si>
    <t>دابليوز للتطور العقاري</t>
  </si>
  <si>
    <t>قيمة الوحدة</t>
  </si>
  <si>
    <t>وديعة الصيانة</t>
  </si>
  <si>
    <t>عربون حجز</t>
  </si>
  <si>
    <t>21/9/2025</t>
  </si>
  <si>
    <t>دفعة مقدمة</t>
  </si>
  <si>
    <t>26/9/2025</t>
  </si>
  <si>
    <t>w`s pharmacy</t>
  </si>
  <si>
    <t>رقم الوحدة :G13</t>
  </si>
  <si>
    <t>ملاحظات 2</t>
  </si>
  <si>
    <t>25/9/2025</t>
  </si>
  <si>
    <t>دفعة مقدم</t>
  </si>
  <si>
    <t>قسط1</t>
  </si>
  <si>
    <t>25/3/2026</t>
  </si>
  <si>
    <t>قسط2</t>
  </si>
  <si>
    <t>قسط3</t>
  </si>
  <si>
    <t>قسط4</t>
  </si>
  <si>
    <t>صيانة</t>
  </si>
  <si>
    <t>قسط5</t>
  </si>
  <si>
    <t>قسط6</t>
  </si>
  <si>
    <t>قسط7</t>
  </si>
  <si>
    <t>قسط8</t>
  </si>
  <si>
    <t>قسط9</t>
  </si>
  <si>
    <t>قسط10</t>
  </si>
  <si>
    <t>قسط11</t>
  </si>
  <si>
    <t>قسط12</t>
  </si>
  <si>
    <t xml:space="preserve"> ا علاء محمد جبر</t>
  </si>
  <si>
    <t>تورق</t>
  </si>
  <si>
    <t>التاجر : علاء محمد جبر</t>
  </si>
  <si>
    <t>قيمة شراء اصل ثابت تورق</t>
  </si>
  <si>
    <t>30/2/2026</t>
  </si>
  <si>
    <t>30/10/2026</t>
  </si>
  <si>
    <t>30/11/2026</t>
  </si>
  <si>
    <t>30/12/2026</t>
  </si>
  <si>
    <t>30/1/2027</t>
  </si>
  <si>
    <t>30/2/2027</t>
  </si>
  <si>
    <t>30/4/2025</t>
  </si>
  <si>
    <t>30/6/2027</t>
  </si>
  <si>
    <t>30/7/2027</t>
  </si>
  <si>
    <t>30/8/2027</t>
  </si>
  <si>
    <t>30/3/2027</t>
  </si>
  <si>
    <t>30/4/2027</t>
  </si>
  <si>
    <t>30/5/2027</t>
  </si>
  <si>
    <t>30/6/2025</t>
  </si>
  <si>
    <t>29/12/2025</t>
  </si>
  <si>
    <t>تورق (25 شهر بداية 30/9/2025)</t>
  </si>
  <si>
    <t>20/9/2025</t>
  </si>
  <si>
    <t>بيع (عهدة ا احمد توفيق)</t>
  </si>
  <si>
    <t>17/3/2026</t>
  </si>
  <si>
    <t>مقدم بلدوزر 8</t>
  </si>
  <si>
    <t>قيمة شراء اصل ثابت بلدوزر 8</t>
  </si>
  <si>
    <t>من بيع كاتر 2</t>
  </si>
  <si>
    <t>21/2/2026</t>
  </si>
  <si>
    <t xml:space="preserve">دفعة </t>
  </si>
  <si>
    <t>الحج ياسر الخراط</t>
  </si>
  <si>
    <t>لودر 50</t>
  </si>
  <si>
    <t>حفار 2</t>
  </si>
  <si>
    <t>حفار 5</t>
  </si>
  <si>
    <t>29/8/2024</t>
  </si>
  <si>
    <t>28/7/2024</t>
  </si>
  <si>
    <t>قسط لودر 50</t>
  </si>
  <si>
    <t>تكملة مقدم حفار فولفو رقم 2</t>
  </si>
  <si>
    <t>دفعة من مقدم حفار فولفو رقم 2</t>
  </si>
  <si>
    <t>الحج ياسر قسط حفار فولفو رقم 2</t>
  </si>
  <si>
    <t>من مقدم حفار رقم 2</t>
  </si>
  <si>
    <t xml:space="preserve">من مبلغ الحفار فولفو رقم </t>
  </si>
  <si>
    <t xml:space="preserve">الحج ياسر قسط حفار 2 فولفو </t>
  </si>
  <si>
    <t>دفعة من حساب لودر 66 مقدم</t>
  </si>
  <si>
    <t>الحج ياسر مقدم حفار 5</t>
  </si>
  <si>
    <t>الحج ياسر قسط لودر 50</t>
  </si>
  <si>
    <t>الحج ياسر خراط مستحقات شهر 9</t>
  </si>
  <si>
    <t xml:space="preserve">الحج ياسر الخراط من أقساط معدات </t>
  </si>
  <si>
    <t>دفعة من حساب الحج ياسر</t>
  </si>
  <si>
    <t>لودر 50 E</t>
  </si>
  <si>
    <t>التاجر : الحج ياسر الخراط</t>
  </si>
  <si>
    <t xml:space="preserve">اجمالي 15قسط سيتم سداد شهر وشهر لا </t>
  </si>
  <si>
    <t>حفار فولفو  رقم 2</t>
  </si>
  <si>
    <t>المقدم(تم دفع 450الف)4/18+24شيك*165الف</t>
  </si>
  <si>
    <t>حفار فولفو  رقم 5</t>
  </si>
  <si>
    <t>19شيك*165الف+150الف اخر شيك</t>
  </si>
  <si>
    <t>30/10/2024</t>
  </si>
  <si>
    <t>30/12/2024</t>
  </si>
  <si>
    <t>28/2/2025</t>
  </si>
  <si>
    <t>30/3/2025</t>
  </si>
  <si>
    <t>30/5//2025</t>
  </si>
  <si>
    <t>لودر66g2</t>
  </si>
  <si>
    <t>مقدم+20شيك*150الف</t>
  </si>
  <si>
    <t>بيان بالدفعات الواصلة للعميل</t>
  </si>
  <si>
    <t>العميل :</t>
  </si>
  <si>
    <t>الدفعه</t>
  </si>
  <si>
    <t xml:space="preserve">بيان </t>
  </si>
  <si>
    <t>بيان بالمعدات</t>
  </si>
  <si>
    <t>18/4/2025</t>
  </si>
  <si>
    <t>الحج ياسر (من مقدم حفار فولفو رقم 2</t>
  </si>
  <si>
    <t>حفار فولفو 2</t>
  </si>
  <si>
    <t>حفار فولفو 5</t>
  </si>
  <si>
    <t>لودر 66 G2</t>
  </si>
  <si>
    <t>الاجمــــــــــــــــــــــــالي</t>
  </si>
  <si>
    <t>الحج حسين البابا</t>
  </si>
  <si>
    <t>سبحتين 9l و8بكرة</t>
  </si>
  <si>
    <t>سبحتين 10n</t>
  </si>
  <si>
    <t>سبح وبكر بلدوزر</t>
  </si>
  <si>
    <t>العميل : الحج حسين البابا</t>
  </si>
  <si>
    <t>الحج محمد السيد</t>
  </si>
  <si>
    <t>سبح وبكر</t>
  </si>
  <si>
    <t>التاجر :الحج محمد السيد سليمان</t>
  </si>
  <si>
    <t xml:space="preserve">قيمة شراء اصل ثابت( 2 كاتينة كاتر8 ) </t>
  </si>
  <si>
    <t>2كاتينة بلدوزر8</t>
  </si>
  <si>
    <t>20/2/2026</t>
  </si>
  <si>
    <t>20/3/2025</t>
  </si>
  <si>
    <t>15/9/2025</t>
  </si>
  <si>
    <t>18/11/2025</t>
  </si>
  <si>
    <t>قيمه شراء اصل ثابت  لودر 7</t>
  </si>
  <si>
    <t>16/9/2025</t>
  </si>
  <si>
    <t>29/11/2025</t>
  </si>
  <si>
    <t>26/2/2025</t>
  </si>
  <si>
    <t>16/3/2026</t>
  </si>
  <si>
    <t>الرصيد الافتتاحي</t>
  </si>
  <si>
    <t xml:space="preserve">الرصيد الحالي حتي بداية البرنامج </t>
  </si>
  <si>
    <t>دفعات حتي 19/3/2025</t>
  </si>
  <si>
    <t>دفعة من البنك (موردين)</t>
  </si>
  <si>
    <t xml:space="preserve">فرق مبلغ دبابة(دفعة مقدمة ) </t>
  </si>
  <si>
    <t>24/8/2025</t>
  </si>
  <si>
    <t>فرق 200 الف بينا وبين الحج علاء</t>
  </si>
  <si>
    <t>دفعات ما قبل البرنامج</t>
  </si>
  <si>
    <t>فرق بين اكسيل وبرنامج</t>
  </si>
  <si>
    <t>شركة الماس</t>
  </si>
  <si>
    <t>كاوتش لودر 66</t>
  </si>
  <si>
    <t>كاوتش</t>
  </si>
  <si>
    <t xml:space="preserve">كاوتش </t>
  </si>
  <si>
    <t xml:space="preserve">3شيك بنك cib حساب الاخلاص </t>
  </si>
  <si>
    <t>م مصطفي محمد علي صبرة</t>
  </si>
  <si>
    <t>العدد</t>
  </si>
  <si>
    <t>الفئة</t>
  </si>
  <si>
    <t>الاجمالي</t>
  </si>
  <si>
    <t>المقاس</t>
  </si>
  <si>
    <t>كاوتش صخري لودر66</t>
  </si>
  <si>
    <t>26.5/25</t>
  </si>
  <si>
    <t>كاوتش لاسا</t>
  </si>
  <si>
    <t>15/17/225</t>
  </si>
  <si>
    <t>شريط</t>
  </si>
  <si>
    <t>24/1200</t>
  </si>
  <si>
    <t>شمبر</t>
  </si>
  <si>
    <t>خصم</t>
  </si>
  <si>
    <t>القسط الاول</t>
  </si>
  <si>
    <t>القسط الثاني</t>
  </si>
  <si>
    <t>القسط الثالث</t>
  </si>
  <si>
    <t xml:space="preserve">3شيك بنك مصر  حساب الاخلاص </t>
  </si>
  <si>
    <t>ادفانس صخري</t>
  </si>
  <si>
    <t>صيني صخري</t>
  </si>
  <si>
    <t>بطارية شيلك 90</t>
  </si>
  <si>
    <t>N90</t>
  </si>
  <si>
    <t>اونيفا</t>
  </si>
  <si>
    <t>N200</t>
  </si>
  <si>
    <t>جوديير</t>
  </si>
  <si>
    <t>17/60/225</t>
  </si>
  <si>
    <t>شيك</t>
  </si>
  <si>
    <t>سيارة سوبارو</t>
  </si>
  <si>
    <t>تم السداد وموجود ايصالات</t>
  </si>
  <si>
    <t>الوصلات بتاريخ 1 ف الشهر</t>
  </si>
  <si>
    <t>جامبو 2015</t>
  </si>
  <si>
    <t>اسم التاجر :</t>
  </si>
  <si>
    <t xml:space="preserve">اجمالي </t>
  </si>
  <si>
    <t>الشيكات بتاريخ 10 ف الشهر</t>
  </si>
  <si>
    <t>موجود شيكات 10</t>
  </si>
  <si>
    <t>تم السداد وموجود شيكات</t>
  </si>
  <si>
    <t>سيارتين دبابة 2025(1و2)</t>
  </si>
  <si>
    <t>تم 9/29</t>
  </si>
  <si>
    <t>موجود شيكات حتي 28/2ماعدا شيك 0الف 28/2</t>
  </si>
  <si>
    <t xml:space="preserve">تم وموجود شيكات </t>
  </si>
  <si>
    <t>سيارتين دبابة 2025(3)</t>
  </si>
  <si>
    <t>اسم التاجر :الحج محمد احمد محمد جبر</t>
  </si>
  <si>
    <t>بنك :الاهلي (ش هاني)</t>
  </si>
  <si>
    <t>قيمة السيارة</t>
  </si>
  <si>
    <t>موجود شيكات</t>
  </si>
  <si>
    <t xml:space="preserve"> </t>
  </si>
  <si>
    <t>دبابة 2و دبابة 4</t>
  </si>
  <si>
    <t>تم نقدي بدون شيكات</t>
  </si>
  <si>
    <t>30/6//2025</t>
  </si>
  <si>
    <t>28/2/2027</t>
  </si>
  <si>
    <t>اخر شيك 60 الف</t>
  </si>
  <si>
    <t>شاكوش حفار+ سيارة ملاكي شيفروليه</t>
  </si>
  <si>
    <t>التاجر : الحج محمد جبر</t>
  </si>
  <si>
    <t>قسط الشيفروليه</t>
  </si>
  <si>
    <t>اجمالي</t>
  </si>
  <si>
    <t>حفار دوسان 300</t>
  </si>
  <si>
    <t>(تم السداد نقدي)3/11/2024</t>
  </si>
  <si>
    <t xml:space="preserve">تم </t>
  </si>
  <si>
    <t>تم السداد وموجود الشيكات</t>
  </si>
  <si>
    <t xml:space="preserve">(السوم) 2023سيارة دبابة  </t>
  </si>
  <si>
    <t>التاجر : الحج محمد احمد جبر</t>
  </si>
  <si>
    <t>المتبقي</t>
  </si>
  <si>
    <t>محمد عبدالمنعم احمد</t>
  </si>
  <si>
    <t>ش محمد جمعة</t>
  </si>
  <si>
    <t>لودر 80 ش محمد جمعة</t>
  </si>
  <si>
    <t>رقم  الشيك</t>
  </si>
  <si>
    <t xml:space="preserve">تاريخ الاستحقاق </t>
  </si>
  <si>
    <t xml:space="preserve">اسم مستلم </t>
  </si>
  <si>
    <t>مبلغ الشيك(الجنيه)</t>
  </si>
  <si>
    <t>مركز التكلفه</t>
  </si>
  <si>
    <t xml:space="preserve">التحليل </t>
  </si>
  <si>
    <t>لودر80 ش محمد جمعة</t>
  </si>
  <si>
    <t>مقدم شد سياراتين نقل</t>
  </si>
  <si>
    <t>تحت حساب صيانة لودر 1</t>
  </si>
  <si>
    <t>2بطارية 200</t>
  </si>
  <si>
    <t>مصباح شاسيه</t>
  </si>
  <si>
    <t>سيارة 16 و17 وصيانة لودر1</t>
  </si>
  <si>
    <t>دفعة من الصيانة وسيارتين 16 و 17</t>
  </si>
  <si>
    <t>19/8/2025</t>
  </si>
  <si>
    <t>21/8/2025</t>
  </si>
  <si>
    <t>14/9/2025</t>
  </si>
  <si>
    <t xml:space="preserve">حساب الصيانات </t>
  </si>
  <si>
    <t>المطور : دابليوز للتطوير العقاري</t>
  </si>
  <si>
    <t>قسط 1</t>
  </si>
  <si>
    <t>الحج محمد احمد جبر</t>
  </si>
  <si>
    <t>17/12/2026</t>
  </si>
  <si>
    <t>17/12/2027</t>
  </si>
  <si>
    <t>17/12/2028</t>
  </si>
  <si>
    <t>17/12/2029</t>
  </si>
  <si>
    <t>17/12/2030</t>
  </si>
  <si>
    <t>17/12/2031</t>
  </si>
  <si>
    <t>17/12/2032</t>
  </si>
  <si>
    <t>17/12/2033</t>
  </si>
  <si>
    <t>17/12/2034</t>
  </si>
  <si>
    <t>17/12/2035</t>
  </si>
  <si>
    <t>30/9/2027</t>
  </si>
  <si>
    <t>17/12/2036</t>
  </si>
  <si>
    <t>30/10/2027</t>
  </si>
  <si>
    <t>17/12/2037</t>
  </si>
  <si>
    <t>30/11/2027</t>
  </si>
  <si>
    <t xml:space="preserve">تاريخ الاستلام </t>
  </si>
  <si>
    <t>اسم العميل /المؤسسة</t>
  </si>
  <si>
    <t>الشيكات موجودة</t>
  </si>
  <si>
    <t xml:space="preserve">3شيك بنك التجاري الدولي  حساب الاخلاص </t>
  </si>
  <si>
    <t>واصل من بلدوزر 4</t>
  </si>
  <si>
    <t>21/5/2026</t>
  </si>
  <si>
    <t>28/5/2026</t>
  </si>
  <si>
    <t>26/5/2026</t>
  </si>
  <si>
    <t>31/5/2026</t>
  </si>
  <si>
    <t>واصل ا احمد توفيق تقفيل شيكات</t>
  </si>
  <si>
    <t>29/4/2026</t>
  </si>
  <si>
    <t>4كاوتش لاسا تركي14/195</t>
  </si>
  <si>
    <t>10كاوتش لاسا تركي15/70/225</t>
  </si>
  <si>
    <t>4كاوتش ويندا16/750</t>
  </si>
  <si>
    <t>10كاوتش رود تراك خشن فيتنامي 24/95/325</t>
  </si>
  <si>
    <t>10كاوتش ادفانس صخري 24/95/325</t>
  </si>
  <si>
    <t>TQ 10كاوتش بريللي 24/95/325</t>
  </si>
  <si>
    <t>20بطارية اونيفا الماني(N150)</t>
  </si>
  <si>
    <t>20بطارية شيلك تركي(N150)</t>
  </si>
  <si>
    <t>17/5/2026</t>
  </si>
  <si>
    <t>فاتورة</t>
  </si>
  <si>
    <t>مقدم تم السداد</t>
  </si>
  <si>
    <t xml:space="preserve">12 شيك </t>
  </si>
  <si>
    <t>البنك</t>
  </si>
  <si>
    <t>CIB</t>
  </si>
  <si>
    <t>12شيك</t>
  </si>
  <si>
    <t>25/5/2026</t>
  </si>
  <si>
    <t>تم السداد 5/26</t>
  </si>
  <si>
    <t>تم السداد 5/11</t>
  </si>
  <si>
    <t>بنك مصر</t>
  </si>
  <si>
    <t>5شيكات *460الف</t>
  </si>
  <si>
    <t>رصيد اقساط(تم خصم 20الف شراء)</t>
  </si>
  <si>
    <t>12شيكات *690الف</t>
  </si>
  <si>
    <t>تم والشيكات موجودة</t>
  </si>
  <si>
    <t>خالص والشيكات موجودة</t>
  </si>
  <si>
    <t>23ايصال امانة</t>
  </si>
  <si>
    <t>18/5/2026</t>
  </si>
  <si>
    <t>مقدم طنبر</t>
  </si>
  <si>
    <t>من 5 دبابه</t>
  </si>
  <si>
    <t>ش هاني</t>
  </si>
  <si>
    <t>000544418837</t>
  </si>
  <si>
    <t>000544418838</t>
  </si>
  <si>
    <t>000544418839</t>
  </si>
  <si>
    <t>رقم الشيك</t>
  </si>
  <si>
    <t>المورد /م مصطفي محمد علي صبرة</t>
  </si>
  <si>
    <t>حفار9 ( 500)</t>
  </si>
  <si>
    <t>حفار 500(10)</t>
  </si>
  <si>
    <t>دفعة من بيع 10 دبابة</t>
  </si>
  <si>
    <t>22/5/2026</t>
  </si>
  <si>
    <t>تورق (قسط شهري 318750*12)</t>
  </si>
  <si>
    <t>دفعة من بيع 10 دبابة (الحج امين)</t>
  </si>
  <si>
    <t>15/1/2026</t>
  </si>
  <si>
    <t>15/2/2026</t>
  </si>
  <si>
    <t>بنك مصر شخصي ش هاني</t>
  </si>
  <si>
    <t>سداد شيك نقدي والشيك موجود</t>
  </si>
  <si>
    <t>تم استلام الشيك</t>
  </si>
  <si>
    <t>تم استلام الايصالات وتقطيعها (ا احمد توفيق)</t>
  </si>
  <si>
    <t>اسم البنك :البنك الاهلي المصري (الاخلاص)</t>
  </si>
  <si>
    <t>اسم البنك :البنك التجاري الدولي (الاخلاص)</t>
  </si>
  <si>
    <t>التاجر : الحج محمد احمد محمد جبر</t>
  </si>
  <si>
    <t>اسم البنك :البنك الاهلي المصري (الاخلاص تضامن)</t>
  </si>
  <si>
    <t>تم السداد والشيك موجود</t>
  </si>
  <si>
    <t>اسم البنك : بنك مصر (الاخلاص)</t>
  </si>
  <si>
    <t>تم السحب من البنك</t>
  </si>
  <si>
    <t>شراء اصل ثابت طنبر (4 شيك *750 الف+2مليون و200الف مقدم)</t>
  </si>
  <si>
    <t>طنبر</t>
  </si>
  <si>
    <t>الشيك عند الماس</t>
  </si>
  <si>
    <t xml:space="preserve">غرامة تاخير </t>
  </si>
  <si>
    <t>اخر دفعات لودر 80 الشيخ محمد جمعه</t>
  </si>
  <si>
    <t>مستحقات شهر 9</t>
  </si>
  <si>
    <t>بيع سيارة 3</t>
  </si>
  <si>
    <t>خصم من سعر لودر 2</t>
  </si>
  <si>
    <t>كاوتش 24 بريللى TQ</t>
  </si>
  <si>
    <t>كاوتش 24 بريللى خشن TQ</t>
  </si>
  <si>
    <t>بطارية 90</t>
  </si>
  <si>
    <t>بطارية 200</t>
  </si>
  <si>
    <t>بطارية 150 كلوريد</t>
  </si>
  <si>
    <t>كاوتش طمبر</t>
  </si>
  <si>
    <t>كاوتش جليدر</t>
  </si>
  <si>
    <t>كاوتش 15</t>
  </si>
  <si>
    <t>كاوتش 16 (جامبو)</t>
  </si>
  <si>
    <t>كاوتش 14</t>
  </si>
  <si>
    <t>v1365</t>
  </si>
  <si>
    <t xml:space="preserve">خصم </t>
  </si>
  <si>
    <t>مصاريف طريق</t>
  </si>
  <si>
    <t>فاتورة شراء اجل v1365</t>
  </si>
  <si>
    <t>فاتورة شراء اجل v1413</t>
  </si>
  <si>
    <t>مصاريف صيانة لوادر لودر 11(g66)</t>
  </si>
  <si>
    <t>مصاريف صيانة</t>
  </si>
  <si>
    <t>قيمة شراء سيارات 18 و19</t>
  </si>
  <si>
    <t>تكملة الدفعه</t>
  </si>
  <si>
    <t>دفعه من السيارات المباعه</t>
  </si>
  <si>
    <t>الشيك لسه عنده</t>
  </si>
  <si>
    <t>عنده شيكات ب9 مليون</t>
  </si>
  <si>
    <t>الشيكات عنده</t>
  </si>
  <si>
    <t>الشيك عندهم</t>
  </si>
  <si>
    <t>ايصالات الامانه</t>
  </si>
  <si>
    <t>شيكات محمد جبر</t>
  </si>
  <si>
    <t>شراء سيارة 9</t>
  </si>
  <si>
    <t>شراء لودر 8</t>
  </si>
  <si>
    <t>ا/لحمد سعيد النويرى</t>
  </si>
  <si>
    <t>محل كاوتش وبطاريات</t>
  </si>
  <si>
    <t xml:space="preserve">كاوتش طنبر </t>
  </si>
  <si>
    <t>3 شيكات بنك الاسكندريه</t>
  </si>
  <si>
    <t>احمد سعيد احمد النويري</t>
  </si>
  <si>
    <t>كاوتش طنبر 4</t>
  </si>
  <si>
    <t>مقدم 4كاوتش طنبر</t>
  </si>
  <si>
    <t>2كاوتش طنبر</t>
  </si>
  <si>
    <t>المتبقى من شراء سيارة 7 و8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</si>
</sst>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dd/mm/yyyy;@"/>
    <numFmt numFmtId="165" formatCode="_-* #,##0.00_-;_-* #,##0.00\-;_-* &quot;-&quot;??_-;_-@_-"/>
    <numFmt numFmtId="166" formatCode="yyyy\-mm\-dd\ hh:mm:ss"/>
    <numFmt numFmtId="167" formatCode="#,##0.00\ &quot;ج.م.‏&quot;"/>
    <numFmt numFmtId="168" formatCode="0.0"/>
    <numFmt numFmtId="169" formatCode="_(* #,##0_);_(* \(#,##0\);_(* &quot;-&quot;??_);_(@_)"/>
    <numFmt numFmtId="170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b/>
      <sz val="14"/>
      <color theme="1"/>
      <name val="Calibri"/>
      <family val="2"/>
      <charset val="17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</cellStyleXfs>
  <cellXfs count="309">
    <xf numFmtId="0" fontId="0" fillId="0" borderId="0" xfId="0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7" fontId="3" fillId="0" borderId="1" xfId="0" applyNumberFormat="1" applyFont="1" applyBorder="1" applyAlignment="1">
      <alignment horizontal="center" vertical="center"/>
    </xf>
    <xf numFmtId="37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3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7" fontId="2" fillId="0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37" fontId="2" fillId="4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center" vertical="center"/>
    </xf>
    <xf numFmtId="37" fontId="2" fillId="4" borderId="1" xfId="2" applyNumberFormat="1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right" vertical="center"/>
    </xf>
    <xf numFmtId="164" fontId="2" fillId="4" borderId="1" xfId="3" applyNumberFormat="1" applyFont="1" applyFill="1" applyBorder="1" applyAlignment="1">
      <alignment horizontal="center" vertical="center"/>
    </xf>
    <xf numFmtId="37" fontId="2" fillId="4" borderId="1" xfId="2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center"/>
    </xf>
    <xf numFmtId="37" fontId="2" fillId="5" borderId="1" xfId="2" applyNumberFormat="1" applyFont="1" applyFill="1" applyBorder="1" applyAlignment="1">
      <alignment horizontal="center"/>
    </xf>
    <xf numFmtId="3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 vertical="center"/>
    </xf>
    <xf numFmtId="37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16" fontId="2" fillId="5" borderId="1" xfId="0" applyNumberFormat="1" applyFont="1" applyFill="1" applyBorder="1" applyAlignment="1">
      <alignment horizontal="center" vertical="center"/>
    </xf>
    <xf numFmtId="38" fontId="3" fillId="0" borderId="1" xfId="0" applyNumberFormat="1" applyFont="1" applyBorder="1"/>
    <xf numFmtId="0" fontId="3" fillId="0" borderId="1" xfId="0" applyFont="1" applyBorder="1"/>
    <xf numFmtId="166" fontId="3" fillId="0" borderId="1" xfId="0" applyNumberFormat="1" applyFont="1" applyBorder="1" applyAlignment="1">
      <alignment horizontal="center"/>
    </xf>
    <xf numFmtId="37" fontId="3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37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37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37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37" fontId="3" fillId="5" borderId="1" xfId="0" applyNumberFormat="1" applyFont="1" applyFill="1" applyBorder="1" applyAlignment="1">
      <alignment horizontal="center" vertical="center"/>
    </xf>
    <xf numFmtId="37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14" fontId="3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/>
    </xf>
    <xf numFmtId="37" fontId="3" fillId="2" borderId="1" xfId="0" applyNumberFormat="1" applyFont="1" applyFill="1" applyBorder="1"/>
    <xf numFmtId="0" fontId="3" fillId="2" borderId="1" xfId="0" applyFont="1" applyFill="1" applyBorder="1"/>
    <xf numFmtId="22" fontId="3" fillId="2" borderId="1" xfId="0" applyNumberFormat="1" applyFont="1" applyFill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37" fontId="3" fillId="4" borderId="1" xfId="2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center" vertical="center"/>
    </xf>
    <xf numFmtId="37" fontId="3" fillId="4" borderId="1" xfId="2" applyNumberFormat="1" applyFont="1" applyFill="1" applyBorder="1" applyAlignment="1"/>
    <xf numFmtId="0" fontId="3" fillId="4" borderId="1" xfId="0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center"/>
    </xf>
    <xf numFmtId="37" fontId="3" fillId="0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horizontal="right"/>
    </xf>
    <xf numFmtId="37" fontId="3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167" fontId="3" fillId="0" borderId="0" xfId="0" applyNumberFormat="1" applyFont="1" applyAlignment="1">
      <alignment horizontal="center" vertical="center"/>
    </xf>
    <xf numFmtId="37" fontId="3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center" vertical="center"/>
    </xf>
    <xf numFmtId="37" fontId="3" fillId="0" borderId="1" xfId="1" applyNumberFormat="1" applyFont="1" applyFill="1" applyBorder="1" applyAlignment="1">
      <alignment horizontal="center" vertical="center"/>
    </xf>
    <xf numFmtId="37" fontId="3" fillId="0" borderId="1" xfId="0" applyNumberFormat="1" applyFont="1" applyBorder="1" applyAlignment="1">
      <alignment horizontal="center"/>
    </xf>
    <xf numFmtId="37" fontId="3" fillId="4" borderId="1" xfId="1" applyNumberFormat="1" applyFont="1" applyFill="1" applyBorder="1" applyAlignment="1">
      <alignment vertical="center"/>
    </xf>
    <xf numFmtId="37" fontId="3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7" fontId="3" fillId="4" borderId="1" xfId="1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7" fontId="3" fillId="4" borderId="1" xfId="2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7" fontId="3" fillId="2" borderId="1" xfId="2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right" vertical="center"/>
    </xf>
    <xf numFmtId="164" fontId="3" fillId="4" borderId="1" xfId="3" applyNumberFormat="1" applyFont="1" applyFill="1" applyBorder="1" applyAlignment="1">
      <alignment horizontal="center" vertical="center"/>
    </xf>
    <xf numFmtId="37" fontId="3" fillId="2" borderId="1" xfId="2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2" xfId="0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16" fontId="3" fillId="0" borderId="7" xfId="0" applyNumberFormat="1" applyFont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37" fontId="3" fillId="8" borderId="1" xfId="0" applyNumberFormat="1" applyFont="1" applyFill="1" applyBorder="1"/>
    <xf numFmtId="37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right"/>
    </xf>
    <xf numFmtId="166" fontId="3" fillId="8" borderId="1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37" fontId="3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7" fontId="3" fillId="2" borderId="1" xfId="1" applyNumberFormat="1" applyFont="1" applyFill="1" applyBorder="1" applyAlignment="1">
      <alignment vertical="center"/>
    </xf>
    <xf numFmtId="37" fontId="3" fillId="4" borderId="1" xfId="1" applyNumberFormat="1" applyFont="1" applyFill="1" applyBorder="1" applyAlignment="1"/>
    <xf numFmtId="37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/>
    </xf>
    <xf numFmtId="0" fontId="3" fillId="9" borderId="1" xfId="0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7" fontId="3" fillId="9" borderId="1" xfId="0" applyNumberFormat="1" applyFont="1" applyFill="1" applyBorder="1" applyAlignment="1">
      <alignment horizontal="center" vertical="center"/>
    </xf>
    <xf numFmtId="4" fontId="3" fillId="9" borderId="1" xfId="0" applyNumberFormat="1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167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37" fontId="3" fillId="10" borderId="1" xfId="1" applyNumberFormat="1" applyFont="1" applyFill="1" applyBorder="1" applyAlignment="1">
      <alignment horizontal="center" vertical="center"/>
    </xf>
    <xf numFmtId="0" fontId="3" fillId="4" borderId="1" xfId="3" applyFont="1" applyFill="1" applyBorder="1" applyAlignment="1">
      <alignment horizontal="right" vertical="center"/>
    </xf>
    <xf numFmtId="37" fontId="3" fillId="4" borderId="1" xfId="2" applyNumberFormat="1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right"/>
    </xf>
    <xf numFmtId="14" fontId="3" fillId="5" borderId="1" xfId="0" applyNumberFormat="1" applyFont="1" applyFill="1" applyBorder="1" applyAlignment="1">
      <alignment horizontal="right" vertical="center"/>
    </xf>
    <xf numFmtId="0" fontId="3" fillId="3" borderId="12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4" xfId="1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" fontId="11" fillId="0" borderId="1" xfId="0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6" fontId="2" fillId="0" borderId="1" xfId="0" applyNumberFormat="1" applyFont="1" applyBorder="1" applyAlignment="1">
      <alignment horizontal="center"/>
    </xf>
    <xf numFmtId="37" fontId="3" fillId="0" borderId="1" xfId="0" applyNumberFormat="1" applyFont="1" applyBorder="1" applyAlignment="1">
      <alignment horizontal="right"/>
    </xf>
    <xf numFmtId="37" fontId="3" fillId="0" borderId="1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37" fontId="3" fillId="6" borderId="1" xfId="0" applyNumberFormat="1" applyFont="1" applyFill="1" applyBorder="1"/>
    <xf numFmtId="37" fontId="3" fillId="6" borderId="1" xfId="1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right" vertical="center"/>
    </xf>
    <xf numFmtId="37" fontId="3" fillId="2" borderId="1" xfId="1" applyNumberFormat="1" applyFont="1" applyFill="1" applyBorder="1" applyAlignment="1">
      <alignment horizontal="center"/>
    </xf>
    <xf numFmtId="37" fontId="3" fillId="6" borderId="1" xfId="2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center"/>
    </xf>
    <xf numFmtId="16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37" fontId="3" fillId="5" borderId="1" xfId="2" applyNumberFormat="1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right" vertical="center"/>
    </xf>
    <xf numFmtId="170" fontId="3" fillId="0" borderId="1" xfId="0" applyNumberFormat="1" applyFont="1" applyBorder="1" applyAlignment="1">
      <alignment horizontal="center"/>
    </xf>
    <xf numFmtId="170" fontId="3" fillId="4" borderId="1" xfId="0" applyNumberFormat="1" applyFont="1" applyFill="1" applyBorder="1" applyAlignment="1">
      <alignment horizontal="center" vertical="center"/>
    </xf>
    <xf numFmtId="170" fontId="3" fillId="4" borderId="1" xfId="0" applyNumberFormat="1" applyFont="1" applyFill="1" applyBorder="1" applyAlignment="1">
      <alignment horizontal="center"/>
    </xf>
    <xf numFmtId="170" fontId="3" fillId="0" borderId="4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37" fontId="3" fillId="0" borderId="1" xfId="2" applyNumberFormat="1" applyFont="1" applyFill="1" applyBorder="1" applyAlignment="1"/>
    <xf numFmtId="37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37" fontId="3" fillId="6" borderId="1" xfId="2" applyNumberFormat="1" applyFont="1" applyFill="1" applyBorder="1" applyAlignment="1">
      <alignment vertical="center"/>
    </xf>
    <xf numFmtId="37" fontId="3" fillId="6" borderId="1" xfId="2" applyNumberFormat="1" applyFont="1" applyFill="1" applyBorder="1" applyAlignment="1"/>
    <xf numFmtId="0" fontId="4" fillId="0" borderId="0" xfId="0" applyFont="1" applyAlignment="1">
      <alignment wrapText="1"/>
    </xf>
    <xf numFmtId="0" fontId="3" fillId="7" borderId="12" xfId="0" applyFont="1" applyFill="1" applyBorder="1" applyAlignment="1">
      <alignment vertical="center"/>
    </xf>
    <xf numFmtId="0" fontId="3" fillId="7" borderId="15" xfId="0" applyFont="1" applyFill="1" applyBorder="1" applyAlignment="1">
      <alignment vertical="center"/>
    </xf>
    <xf numFmtId="0" fontId="3" fillId="7" borderId="16" xfId="0" applyFont="1" applyFill="1" applyBorder="1" applyAlignment="1">
      <alignment vertical="center"/>
    </xf>
    <xf numFmtId="0" fontId="3" fillId="0" borderId="0" xfId="0" applyFont="1"/>
    <xf numFmtId="0" fontId="3" fillId="7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0" xfId="0" applyFont="1" applyFill="1"/>
    <xf numFmtId="0" fontId="3" fillId="2" borderId="0" xfId="0" applyFont="1" applyFill="1"/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0" fillId="0" borderId="1" xfId="0" applyBorder="1"/>
    <xf numFmtId="43" fontId="3" fillId="0" borderId="1" xfId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/>
    <xf numFmtId="37" fontId="2" fillId="2" borderId="1" xfId="0" applyNumberFormat="1" applyFont="1" applyFill="1" applyBorder="1"/>
    <xf numFmtId="3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37" fontId="3" fillId="4" borderId="1" xfId="1" applyNumberFormat="1" applyFont="1" applyFill="1" applyBorder="1" applyAlignment="1">
      <alignment horizontal="right" vertical="center"/>
    </xf>
    <xf numFmtId="43" fontId="3" fillId="10" borderId="1" xfId="1" applyFont="1" applyFill="1" applyBorder="1" applyAlignment="1">
      <alignment horizontal="center" vertical="center"/>
    </xf>
    <xf numFmtId="1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4" fontId="3" fillId="1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37" fontId="3" fillId="2" borderId="1" xfId="1" applyNumberFormat="1" applyFont="1" applyFill="1" applyBorder="1" applyAlignment="1">
      <alignment horizontal="right" vertical="center"/>
    </xf>
    <xf numFmtId="37" fontId="3" fillId="2" borderId="1" xfId="0" applyNumberFormat="1" applyFont="1" applyFill="1" applyBorder="1" applyAlignment="1">
      <alignment horizontal="right"/>
    </xf>
    <xf numFmtId="37" fontId="3" fillId="4" borderId="1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8" fontId="3" fillId="0" borderId="1" xfId="0" applyNumberFormat="1" applyFont="1" applyBorder="1" applyAlignment="1">
      <alignment vertical="center"/>
    </xf>
    <xf numFmtId="169" fontId="3" fillId="0" borderId="1" xfId="1" applyNumberFormat="1" applyFont="1" applyFill="1" applyBorder="1" applyAlignment="1">
      <alignment horizontal="right" vertical="center"/>
    </xf>
    <xf numFmtId="0" fontId="3" fillId="0" borderId="1" xfId="1" applyNumberFormat="1" applyFont="1" applyFill="1" applyBorder="1" applyAlignment="1">
      <alignment horizontal="right" vertical="center"/>
    </xf>
    <xf numFmtId="0" fontId="3" fillId="10" borderId="1" xfId="1" applyNumberFormat="1" applyFont="1" applyFill="1" applyBorder="1" applyAlignment="1">
      <alignment horizontal="right" vertical="center"/>
    </xf>
    <xf numFmtId="0" fontId="3" fillId="4" borderId="1" xfId="2" applyNumberFormat="1" applyFont="1" applyFill="1" applyBorder="1" applyAlignment="1">
      <alignment horizontal="right" vertical="center"/>
    </xf>
    <xf numFmtId="0" fontId="3" fillId="4" borderId="1" xfId="2" applyNumberFormat="1" applyFont="1" applyFill="1" applyBorder="1" applyAlignment="1">
      <alignment horizontal="right"/>
    </xf>
    <xf numFmtId="167" fontId="3" fillId="0" borderId="1" xfId="0" applyNumberFormat="1" applyFont="1" applyBorder="1" applyAlignment="1">
      <alignment horizontal="right" vertical="center"/>
    </xf>
    <xf numFmtId="167" fontId="3" fillId="6" borderId="1" xfId="0" applyNumberFormat="1" applyFont="1" applyFill="1" applyBorder="1" applyAlignment="1">
      <alignment horizontal="right" vertical="center"/>
    </xf>
    <xf numFmtId="167" fontId="3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14" xfId="1" applyNumberFormat="1" applyFont="1" applyBorder="1" applyAlignment="1">
      <alignment horizontal="right"/>
    </xf>
    <xf numFmtId="0" fontId="11" fillId="3" borderId="1" xfId="0" applyFont="1" applyFill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37" fontId="3" fillId="2" borderId="1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0" fontId="4" fillId="0" borderId="1" xfId="0" applyFont="1" applyBorder="1"/>
    <xf numFmtId="37" fontId="3" fillId="5" borderId="1" xfId="1" applyNumberFormat="1" applyFont="1" applyFill="1" applyBorder="1" applyAlignment="1"/>
    <xf numFmtId="37" fontId="3" fillId="5" borderId="1" xfId="1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center" vertical="center"/>
    </xf>
    <xf numFmtId="1" fontId="0" fillId="0" borderId="0" xfId="0" applyNumberFormat="1"/>
    <xf numFmtId="1" fontId="3" fillId="10" borderId="1" xfId="0" applyNumberFormat="1" applyFont="1" applyFill="1" applyBorder="1" applyAlignment="1">
      <alignment horizontal="center" vertical="center"/>
    </xf>
    <xf numFmtId="43" fontId="0" fillId="0" borderId="0" xfId="1" applyFont="1"/>
    <xf numFmtId="43" fontId="3" fillId="0" borderId="1" xfId="1" applyFont="1" applyBorder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2" borderId="1" xfId="1" applyFont="1" applyFill="1" applyBorder="1" applyAlignment="1">
      <alignment horizontal="center" vertical="center"/>
    </xf>
    <xf numFmtId="43" fontId="3" fillId="5" borderId="1" xfId="1" applyFont="1" applyFill="1" applyBorder="1" applyAlignment="1">
      <alignment horizontal="center" vertical="center"/>
    </xf>
    <xf numFmtId="43" fontId="3" fillId="3" borderId="4" xfId="1" applyFont="1" applyFill="1" applyBorder="1" applyAlignment="1">
      <alignment vertical="center"/>
    </xf>
    <xf numFmtId="43" fontId="3" fillId="6" borderId="1" xfId="1" applyFont="1" applyFill="1" applyBorder="1" applyAlignment="1">
      <alignment horizontal="center" vertical="center"/>
    </xf>
    <xf numFmtId="43" fontId="0" fillId="0" borderId="0" xfId="0" applyNumberFormat="1"/>
    <xf numFmtId="43" fontId="3" fillId="0" borderId="1" xfId="1" applyFont="1" applyBorder="1" applyAlignment="1">
      <alignment vertical="center"/>
    </xf>
    <xf numFmtId="43" fontId="4" fillId="0" borderId="0" xfId="1" applyFont="1"/>
    <xf numFmtId="43" fontId="3" fillId="0" borderId="4" xfId="1" applyFont="1" applyBorder="1" applyAlignment="1">
      <alignment horizontal="center" vertical="center"/>
    </xf>
    <xf numFmtId="169" fontId="3" fillId="4" borderId="1" xfId="1" applyNumberFormat="1" applyFont="1" applyFill="1" applyBorder="1" applyAlignment="1">
      <alignment horizontal="center" vertical="center"/>
    </xf>
    <xf numFmtId="4" fontId="0" fillId="0" borderId="0" xfId="0" applyNumberFormat="1"/>
    <xf numFmtId="37" fontId="3" fillId="0" borderId="1" xfId="2" applyNumberFormat="1" applyFont="1" applyFill="1" applyBorder="1" applyAlignment="1">
      <alignment vertical="center"/>
    </xf>
    <xf numFmtId="43" fontId="3" fillId="0" borderId="0" xfId="1" applyFont="1" applyAlignment="1">
      <alignment horizontal="center" vertical="center"/>
    </xf>
    <xf numFmtId="43" fontId="3" fillId="3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7" fontId="3" fillId="0" borderId="14" xfId="0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35"/>
    </xf>
    <xf numFmtId="0" fontId="2" fillId="2" borderId="10" xfId="0" applyFont="1" applyFill="1" applyBorder="1" applyAlignment="1">
      <alignment horizontal="center" vertical="center" textRotation="135"/>
    </xf>
    <xf numFmtId="0" fontId="2" fillId="2" borderId="11" xfId="0" applyFont="1" applyFill="1" applyBorder="1" applyAlignment="1">
      <alignment horizontal="center" vertical="center" textRotation="135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1" applyNumberFormat="1" applyFont="1" applyBorder="1" applyAlignment="1">
      <alignment horizontal="right"/>
    </xf>
    <xf numFmtId="0" fontId="11" fillId="3" borderId="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1" defaultTableStyle="TableStyleMedium2" defaultPivotStyle="PivotStyleMedium9">
    <tableStyle name="Invisible" pivot="0" table="0" count="0" xr9:uid="{781B3658-05B9-4A8C-BC2E-77A75AABF4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w\&#1588;&#1585;&#1603;&#1577;%20&#1575;&#1604;&#1575;&#1582;&#1604;&#1575;&#1589;\&#1575;&#1604;&#1575;&#1602;&#1587;&#1575;&#1591;%20&#1575;&#1604;&#1588;&#1607;&#1585;&#1610;&#1607;.xlsx" TargetMode="External"/><Relationship Id="rId1" Type="http://schemas.openxmlformats.org/officeDocument/2006/relationships/externalLinkPath" Target="&#1575;&#1604;&#1575;&#1602;&#1587;&#1575;&#1591;%20&#1575;&#1604;&#1588;&#1607;&#1585;&#1610;&#16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X11">
            <v>12995500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5"/>
  <sheetViews>
    <sheetView rightToLeft="1" workbookViewId="0">
      <pane ySplit="5" topLeftCell="A43" activePane="bottomLeft" state="frozen"/>
      <selection pane="bottomLeft" activeCell="A52" sqref="A52"/>
    </sheetView>
  </sheetViews>
  <sheetFormatPr defaultColWidth="9" defaultRowHeight="14.4" x14ac:dyDescent="0.3"/>
  <cols>
    <col min="1" max="2" width="12" bestFit="1" customWidth="1"/>
    <col min="3" max="3" width="12.6640625" bestFit="1" customWidth="1"/>
    <col min="4" max="4" width="36.109375" customWidth="1"/>
    <col min="5" max="5" width="20.44140625" bestFit="1" customWidth="1"/>
    <col min="6" max="6" width="10.33203125" customWidth="1"/>
    <col min="9" max="9" width="6.5546875" customWidth="1"/>
    <col min="10" max="10" width="14" customWidth="1"/>
    <col min="11" max="11" width="18.5546875" customWidth="1"/>
    <col min="12" max="12" width="17.5546875" bestFit="1" customWidth="1"/>
    <col min="13" max="13" width="17.44140625" style="252" bestFit="1" customWidth="1"/>
    <col min="14" max="14" width="22.44140625" bestFit="1" customWidth="1"/>
  </cols>
  <sheetData>
    <row r="1" spans="1:14" ht="15.6" x14ac:dyDescent="0.3">
      <c r="A1" s="1"/>
      <c r="B1" s="1"/>
      <c r="C1" s="1"/>
      <c r="D1" s="1"/>
      <c r="E1" s="2"/>
      <c r="F1" s="1"/>
    </row>
    <row r="2" spans="1:14" ht="23.25" customHeight="1" x14ac:dyDescent="0.3">
      <c r="A2" s="3">
        <f>SUBTOTAL(9,A5:A157)</f>
        <v>70921700</v>
      </c>
      <c r="B2" s="3">
        <f>SUBTOTAL(9,B5:B157)</f>
        <v>84319100</v>
      </c>
      <c r="C2" s="4">
        <f>A2-B2</f>
        <v>-13397400</v>
      </c>
      <c r="D2" s="1"/>
      <c r="E2" s="2"/>
      <c r="F2" s="1"/>
    </row>
    <row r="3" spans="1:14" ht="29.25" customHeight="1" x14ac:dyDescent="0.3">
      <c r="A3" s="273" t="s">
        <v>0</v>
      </c>
      <c r="B3" s="274"/>
      <c r="C3" s="275"/>
      <c r="D3" s="5" t="s">
        <v>1</v>
      </c>
      <c r="E3" s="6"/>
      <c r="F3" s="6"/>
      <c r="I3" s="6"/>
      <c r="J3" s="5" t="s">
        <v>37</v>
      </c>
      <c r="K3" s="6" t="s">
        <v>38</v>
      </c>
      <c r="L3" s="273"/>
      <c r="M3" s="275"/>
      <c r="N3" s="6"/>
    </row>
    <row r="4" spans="1:14" ht="18.7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  <c r="I4" s="7" t="s">
        <v>40</v>
      </c>
      <c r="J4" s="7" t="s">
        <v>6</v>
      </c>
      <c r="K4" s="41" t="s">
        <v>41</v>
      </c>
      <c r="L4" s="41" t="s">
        <v>42</v>
      </c>
      <c r="M4" s="253" t="s">
        <v>442</v>
      </c>
      <c r="N4" s="7" t="s">
        <v>7</v>
      </c>
    </row>
    <row r="5" spans="1:14" ht="1.5" customHeight="1" x14ac:dyDescent="0.3">
      <c r="A5" s="7"/>
      <c r="B5" s="7"/>
      <c r="C5" s="7">
        <v>0</v>
      </c>
      <c r="D5" s="7"/>
      <c r="E5" s="8"/>
      <c r="F5" s="7"/>
      <c r="I5" s="7"/>
      <c r="J5" s="7"/>
      <c r="K5" s="41"/>
      <c r="L5" s="41"/>
      <c r="M5" s="253">
        <f>K5-L5</f>
        <v>0</v>
      </c>
      <c r="N5" s="7" t="s">
        <v>44</v>
      </c>
    </row>
    <row r="6" spans="1:14" ht="15.6" x14ac:dyDescent="0.3">
      <c r="A6" s="9"/>
      <c r="B6" s="9">
        <v>6000000</v>
      </c>
      <c r="C6" s="9">
        <f>IF(A6&gt;0,C5+A6-B6,C5-B6)</f>
        <v>-6000000</v>
      </c>
      <c r="D6" s="10" t="s">
        <v>8</v>
      </c>
      <c r="E6" s="11" t="s">
        <v>9</v>
      </c>
      <c r="F6" s="12"/>
      <c r="I6" s="7"/>
      <c r="J6" s="8"/>
      <c r="K6" s="41">
        <f>12*500000</f>
        <v>6000000</v>
      </c>
      <c r="L6" s="41"/>
      <c r="M6" s="253">
        <f>K6-L6</f>
        <v>6000000</v>
      </c>
      <c r="N6" s="7"/>
    </row>
    <row r="7" spans="1:14" ht="15.6" x14ac:dyDescent="0.3">
      <c r="A7" s="9"/>
      <c r="B7" s="9">
        <v>4400000</v>
      </c>
      <c r="C7" s="9">
        <f t="shared" ref="C7:C70" si="0">IF(A7&gt;0,C6+A7-B7,C6-B7)</f>
        <v>-10400000</v>
      </c>
      <c r="D7" s="244" t="s">
        <v>10</v>
      </c>
      <c r="E7" s="11" t="s">
        <v>11</v>
      </c>
      <c r="F7" s="12"/>
      <c r="I7" s="7"/>
      <c r="J7" s="8"/>
      <c r="K7" s="41"/>
      <c r="L7" s="41"/>
      <c r="M7" s="253">
        <f>M6-L7</f>
        <v>6000000</v>
      </c>
      <c r="N7" s="7"/>
    </row>
    <row r="8" spans="1:14" ht="15.6" x14ac:dyDescent="0.3">
      <c r="A8" s="9"/>
      <c r="B8" s="9">
        <v>2649600</v>
      </c>
      <c r="C8" s="9">
        <f t="shared" si="0"/>
        <v>-13049600</v>
      </c>
      <c r="D8" s="244" t="s">
        <v>12</v>
      </c>
      <c r="E8" s="11" t="s">
        <v>13</v>
      </c>
      <c r="F8" s="12"/>
      <c r="I8" s="7"/>
      <c r="J8" s="8"/>
      <c r="K8" s="41"/>
      <c r="L8" s="41"/>
      <c r="M8" s="253">
        <f>M7-L8</f>
        <v>6000000</v>
      </c>
      <c r="N8" s="52">
        <v>45502</v>
      </c>
    </row>
    <row r="9" spans="1:14" ht="15.6" x14ac:dyDescent="0.3">
      <c r="A9" s="9"/>
      <c r="B9" s="9">
        <v>2400000</v>
      </c>
      <c r="C9" s="9">
        <f t="shared" si="0"/>
        <v>-15449600</v>
      </c>
      <c r="D9" s="244" t="s">
        <v>14</v>
      </c>
      <c r="E9" s="11" t="s">
        <v>15</v>
      </c>
      <c r="F9" s="12"/>
      <c r="I9" s="7">
        <v>1</v>
      </c>
      <c r="J9" s="8">
        <v>45534</v>
      </c>
      <c r="K9" s="41"/>
      <c r="L9" s="41">
        <v>500000</v>
      </c>
      <c r="M9" s="253">
        <f t="shared" ref="M9:M23" si="1">M8-L9</f>
        <v>5500000</v>
      </c>
      <c r="N9" s="52">
        <v>45564</v>
      </c>
    </row>
    <row r="10" spans="1:14" ht="15.6" x14ac:dyDescent="0.3">
      <c r="A10" s="9"/>
      <c r="B10" s="9">
        <v>5000000</v>
      </c>
      <c r="C10" s="9">
        <f t="shared" si="0"/>
        <v>-20449600</v>
      </c>
      <c r="D10" s="10" t="s">
        <v>16</v>
      </c>
      <c r="E10" s="11" t="s">
        <v>17</v>
      </c>
      <c r="F10" s="12"/>
      <c r="I10" s="7">
        <v>2</v>
      </c>
      <c r="J10" s="8">
        <v>45565</v>
      </c>
      <c r="K10" s="41"/>
      <c r="L10" s="41">
        <v>500000</v>
      </c>
      <c r="M10" s="253">
        <f t="shared" si="1"/>
        <v>5000000</v>
      </c>
      <c r="N10" s="7" t="s">
        <v>45</v>
      </c>
    </row>
    <row r="11" spans="1:14" ht="15.6" x14ac:dyDescent="0.3">
      <c r="A11" s="9"/>
      <c r="B11" s="9">
        <v>5300000</v>
      </c>
      <c r="C11" s="9">
        <f t="shared" si="0"/>
        <v>-25749600</v>
      </c>
      <c r="D11" s="10" t="s">
        <v>18</v>
      </c>
      <c r="E11" s="11" t="s">
        <v>19</v>
      </c>
      <c r="F11" s="12"/>
      <c r="I11" s="7">
        <v>3</v>
      </c>
      <c r="J11" s="8">
        <v>45595</v>
      </c>
      <c r="K11" s="41"/>
      <c r="L11" s="42">
        <v>500000</v>
      </c>
      <c r="M11" s="253">
        <f t="shared" si="1"/>
        <v>4500000</v>
      </c>
      <c r="N11" s="7" t="s">
        <v>45</v>
      </c>
    </row>
    <row r="12" spans="1:14" ht="15.6" x14ac:dyDescent="0.3">
      <c r="A12" s="13">
        <v>220000</v>
      </c>
      <c r="B12" s="9"/>
      <c r="C12" s="9">
        <f t="shared" si="0"/>
        <v>-25529600</v>
      </c>
      <c r="D12" s="10" t="s">
        <v>20</v>
      </c>
      <c r="E12" s="14">
        <v>45426</v>
      </c>
      <c r="F12" s="12"/>
      <c r="I12" s="7">
        <v>4</v>
      </c>
      <c r="J12" s="8">
        <v>45626</v>
      </c>
      <c r="K12" s="41"/>
      <c r="L12" s="42">
        <v>500000</v>
      </c>
      <c r="M12" s="253">
        <f t="shared" si="1"/>
        <v>4000000</v>
      </c>
      <c r="N12" s="7" t="s">
        <v>45</v>
      </c>
    </row>
    <row r="13" spans="1:14" ht="15.6" x14ac:dyDescent="0.3">
      <c r="A13" s="13">
        <v>250000</v>
      </c>
      <c r="B13" s="9"/>
      <c r="C13" s="9">
        <f t="shared" si="0"/>
        <v>-25279600</v>
      </c>
      <c r="D13" s="10" t="s">
        <v>21</v>
      </c>
      <c r="E13" s="14">
        <v>45441</v>
      </c>
      <c r="F13" s="12"/>
      <c r="I13" s="7">
        <v>5</v>
      </c>
      <c r="J13" s="8">
        <v>45656</v>
      </c>
      <c r="K13" s="41"/>
      <c r="L13" s="42">
        <v>500000</v>
      </c>
      <c r="M13" s="253">
        <f t="shared" si="1"/>
        <v>3500000</v>
      </c>
      <c r="N13" s="7" t="s">
        <v>45</v>
      </c>
    </row>
    <row r="14" spans="1:14" ht="15.6" x14ac:dyDescent="0.3">
      <c r="A14" s="16">
        <v>220800</v>
      </c>
      <c r="B14" s="9"/>
      <c r="C14" s="9">
        <f t="shared" si="0"/>
        <v>-25058800</v>
      </c>
      <c r="D14" s="17" t="s">
        <v>22</v>
      </c>
      <c r="E14" s="18">
        <v>45455</v>
      </c>
      <c r="F14" s="12"/>
      <c r="I14" s="7">
        <v>6</v>
      </c>
      <c r="J14" s="8">
        <v>45687</v>
      </c>
      <c r="K14" s="41"/>
      <c r="L14" s="41"/>
      <c r="M14" s="253">
        <f t="shared" si="1"/>
        <v>3500000</v>
      </c>
      <c r="N14" s="7"/>
    </row>
    <row r="15" spans="1:14" ht="15.6" x14ac:dyDescent="0.3">
      <c r="A15" s="16">
        <v>200000</v>
      </c>
      <c r="B15" s="9"/>
      <c r="C15" s="9">
        <f t="shared" si="0"/>
        <v>-24858800</v>
      </c>
      <c r="D15" s="17" t="s">
        <v>23</v>
      </c>
      <c r="E15" s="18">
        <v>45475</v>
      </c>
      <c r="F15" s="12"/>
      <c r="I15" s="7">
        <v>7</v>
      </c>
      <c r="J15" s="8">
        <v>45716</v>
      </c>
      <c r="K15" s="41"/>
      <c r="L15" s="41"/>
      <c r="M15" s="253">
        <f t="shared" si="1"/>
        <v>3500000</v>
      </c>
      <c r="N15" s="7"/>
    </row>
    <row r="16" spans="1:14" ht="15.6" x14ac:dyDescent="0.3">
      <c r="A16" s="16">
        <v>330000</v>
      </c>
      <c r="B16" s="9"/>
      <c r="C16" s="9">
        <f t="shared" si="0"/>
        <v>-24528800</v>
      </c>
      <c r="D16" s="17" t="s">
        <v>24</v>
      </c>
      <c r="E16" s="18">
        <v>45475</v>
      </c>
      <c r="F16" s="12"/>
      <c r="I16" s="7">
        <v>8</v>
      </c>
      <c r="J16" s="8">
        <v>45746</v>
      </c>
      <c r="K16" s="41"/>
      <c r="L16" s="41"/>
      <c r="M16" s="253">
        <f t="shared" si="1"/>
        <v>3500000</v>
      </c>
      <c r="N16" s="7"/>
    </row>
    <row r="17" spans="1:14" ht="15.6" x14ac:dyDescent="0.3">
      <c r="A17" s="19">
        <v>1000000</v>
      </c>
      <c r="B17" s="9"/>
      <c r="C17" s="9">
        <f t="shared" si="0"/>
        <v>-23528800</v>
      </c>
      <c r="D17" s="20" t="s">
        <v>25</v>
      </c>
      <c r="E17" s="21">
        <v>45502</v>
      </c>
      <c r="F17" s="12"/>
      <c r="I17" s="7">
        <v>9</v>
      </c>
      <c r="J17" s="8">
        <v>45777</v>
      </c>
      <c r="K17" s="41"/>
      <c r="L17" s="41"/>
      <c r="M17" s="253">
        <f t="shared" si="1"/>
        <v>3500000</v>
      </c>
      <c r="N17" s="7"/>
    </row>
    <row r="18" spans="1:14" ht="15.6" x14ac:dyDescent="0.3">
      <c r="A18" s="19">
        <v>1000000</v>
      </c>
      <c r="B18" s="9"/>
      <c r="C18" s="9">
        <f t="shared" si="0"/>
        <v>-22528800</v>
      </c>
      <c r="D18" s="17" t="s">
        <v>26</v>
      </c>
      <c r="E18" s="18">
        <v>45564</v>
      </c>
      <c r="F18" s="12"/>
      <c r="I18" s="7">
        <v>10</v>
      </c>
      <c r="J18" s="8">
        <v>45807</v>
      </c>
      <c r="K18" s="41"/>
      <c r="L18" s="41"/>
      <c r="M18" s="253">
        <f t="shared" si="1"/>
        <v>3500000</v>
      </c>
      <c r="N18" s="7"/>
    </row>
    <row r="19" spans="1:14" ht="15.6" x14ac:dyDescent="0.3">
      <c r="A19" s="22">
        <v>3500000</v>
      </c>
      <c r="B19" s="9"/>
      <c r="C19" s="9">
        <f t="shared" si="0"/>
        <v>-19028800</v>
      </c>
      <c r="D19" s="23" t="s">
        <v>27</v>
      </c>
      <c r="E19" s="24">
        <v>45628</v>
      </c>
      <c r="F19" s="12"/>
      <c r="I19" s="7">
        <v>11</v>
      </c>
      <c r="J19" s="8">
        <v>45838</v>
      </c>
      <c r="K19" s="41"/>
      <c r="L19" s="41"/>
      <c r="M19" s="253">
        <f t="shared" si="1"/>
        <v>3500000</v>
      </c>
      <c r="N19" s="7"/>
    </row>
    <row r="20" spans="1:14" ht="15.6" x14ac:dyDescent="0.3">
      <c r="A20" s="25">
        <v>2500000</v>
      </c>
      <c r="B20" s="26"/>
      <c r="C20" s="26">
        <f t="shared" si="0"/>
        <v>-16528800</v>
      </c>
      <c r="D20" s="27" t="s">
        <v>28</v>
      </c>
      <c r="E20" s="28" t="s">
        <v>29</v>
      </c>
      <c r="F20" s="12"/>
      <c r="I20" s="7">
        <v>12</v>
      </c>
      <c r="J20" s="8" t="s">
        <v>9</v>
      </c>
      <c r="K20" s="41"/>
      <c r="L20" s="41"/>
      <c r="M20" s="253">
        <f t="shared" si="1"/>
        <v>3500000</v>
      </c>
      <c r="N20" s="7"/>
    </row>
    <row r="21" spans="1:14" ht="15.6" x14ac:dyDescent="0.3">
      <c r="A21" s="13">
        <v>1000000</v>
      </c>
      <c r="B21" s="9"/>
      <c r="C21" s="9">
        <f t="shared" si="0"/>
        <v>-15528800</v>
      </c>
      <c r="D21" s="23" t="s">
        <v>27</v>
      </c>
      <c r="E21" s="29">
        <v>45693</v>
      </c>
      <c r="F21" s="12"/>
      <c r="I21" s="7"/>
      <c r="J21" s="8"/>
      <c r="K21" s="41"/>
      <c r="L21" s="41"/>
      <c r="M21" s="253">
        <f t="shared" si="1"/>
        <v>3500000</v>
      </c>
      <c r="N21" s="7"/>
    </row>
    <row r="22" spans="1:14" ht="15.6" x14ac:dyDescent="0.3">
      <c r="A22" s="13">
        <v>20200</v>
      </c>
      <c r="B22" s="9"/>
      <c r="C22" s="9">
        <f t="shared" si="0"/>
        <v>-15508600</v>
      </c>
      <c r="D22" s="10" t="s">
        <v>30</v>
      </c>
      <c r="E22" s="29">
        <v>45716</v>
      </c>
      <c r="F22" s="12"/>
      <c r="I22" s="7"/>
      <c r="J22" s="8"/>
      <c r="K22" s="41"/>
      <c r="L22" s="41"/>
      <c r="M22" s="253">
        <f t="shared" si="1"/>
        <v>3500000</v>
      </c>
      <c r="N22" s="7"/>
    </row>
    <row r="23" spans="1:14" ht="15.6" x14ac:dyDescent="0.3">
      <c r="A23" s="30">
        <v>781200</v>
      </c>
      <c r="B23" s="26"/>
      <c r="C23" s="26">
        <f t="shared" si="0"/>
        <v>-14727400</v>
      </c>
      <c r="D23" s="31" t="s">
        <v>375</v>
      </c>
      <c r="E23" s="32"/>
      <c r="F23" s="12"/>
      <c r="I23" s="7"/>
      <c r="J23" s="8"/>
      <c r="K23" s="41"/>
      <c r="L23" s="41"/>
      <c r="M23" s="253">
        <f t="shared" si="1"/>
        <v>3500000</v>
      </c>
      <c r="N23" s="7"/>
    </row>
    <row r="24" spans="1:14" x14ac:dyDescent="0.3">
      <c r="A24" s="9"/>
      <c r="B24" s="9">
        <v>5250000</v>
      </c>
      <c r="C24" s="9">
        <f t="shared" si="0"/>
        <v>-19977400</v>
      </c>
      <c r="D24" s="175" t="s">
        <v>32</v>
      </c>
      <c r="E24" s="38">
        <v>45789.713587963</v>
      </c>
      <c r="F24" s="12"/>
    </row>
    <row r="25" spans="1:14" x14ac:dyDescent="0.3">
      <c r="A25" s="9"/>
      <c r="B25" s="9">
        <v>6440000</v>
      </c>
      <c r="C25" s="9">
        <f t="shared" si="0"/>
        <v>-26417400</v>
      </c>
      <c r="D25" s="175" t="s">
        <v>363</v>
      </c>
      <c r="E25" s="38">
        <v>45789.7166319444</v>
      </c>
      <c r="F25" s="12"/>
    </row>
    <row r="26" spans="1:14" ht="15.6" x14ac:dyDescent="0.3">
      <c r="A26" s="9"/>
      <c r="B26" s="9">
        <v>6500000</v>
      </c>
      <c r="C26" s="9">
        <f t="shared" si="0"/>
        <v>-32917400</v>
      </c>
      <c r="D26" s="175" t="s">
        <v>33</v>
      </c>
      <c r="E26" s="11">
        <v>46093</v>
      </c>
      <c r="F26" s="12"/>
      <c r="I26" s="1"/>
      <c r="J26" s="1"/>
      <c r="K26" s="276"/>
      <c r="L26" s="276"/>
      <c r="M26" s="254"/>
      <c r="N26" s="1"/>
    </row>
    <row r="27" spans="1:14" ht="15.6" x14ac:dyDescent="0.3">
      <c r="A27" s="9"/>
      <c r="B27" s="9">
        <v>15500000</v>
      </c>
      <c r="C27" s="9">
        <f t="shared" si="0"/>
        <v>-48417400</v>
      </c>
      <c r="D27" s="175" t="s">
        <v>34</v>
      </c>
      <c r="E27" s="11">
        <v>46093</v>
      </c>
      <c r="F27" s="12"/>
      <c r="I27" s="6"/>
      <c r="J27" s="5" t="s">
        <v>37</v>
      </c>
      <c r="K27" s="6" t="s">
        <v>46</v>
      </c>
      <c r="L27" s="272" t="s">
        <v>39</v>
      </c>
      <c r="M27" s="272"/>
      <c r="N27" s="6" t="s">
        <v>47</v>
      </c>
    </row>
    <row r="28" spans="1:14" ht="15.6" x14ac:dyDescent="0.3">
      <c r="A28" s="33">
        <v>2500000</v>
      </c>
      <c r="B28" s="9"/>
      <c r="C28" s="9">
        <f t="shared" si="0"/>
        <v>-45917400</v>
      </c>
      <c r="D28" s="34" t="s">
        <v>28</v>
      </c>
      <c r="E28" s="35">
        <v>45742.740138888897</v>
      </c>
      <c r="F28" s="12"/>
      <c r="I28" s="7" t="s">
        <v>40</v>
      </c>
      <c r="J28" s="7" t="s">
        <v>6</v>
      </c>
      <c r="K28" s="41" t="s">
        <v>41</v>
      </c>
      <c r="L28" s="41" t="s">
        <v>42</v>
      </c>
      <c r="M28" s="253" t="s">
        <v>43</v>
      </c>
      <c r="N28" s="7" t="s">
        <v>7</v>
      </c>
    </row>
    <row r="29" spans="1:14" ht="15.6" x14ac:dyDescent="0.3">
      <c r="A29" s="33">
        <v>4500000</v>
      </c>
      <c r="B29" s="9"/>
      <c r="C29" s="9">
        <f t="shared" si="0"/>
        <v>-41417400</v>
      </c>
      <c r="D29" s="34" t="s">
        <v>28</v>
      </c>
      <c r="E29" s="35">
        <v>45810.431875000002</v>
      </c>
      <c r="F29" s="12"/>
      <c r="I29" s="7"/>
      <c r="J29" s="7"/>
      <c r="K29" s="41">
        <f>200000*14</f>
        <v>2800000</v>
      </c>
      <c r="L29" s="41"/>
      <c r="M29" s="253">
        <f>K29-L29</f>
        <v>2800000</v>
      </c>
      <c r="N29" s="7" t="s">
        <v>44</v>
      </c>
    </row>
    <row r="30" spans="1:14" ht="15.6" x14ac:dyDescent="0.3">
      <c r="A30" s="33">
        <v>3000000</v>
      </c>
      <c r="B30" s="9"/>
      <c r="C30" s="9">
        <f t="shared" si="0"/>
        <v>-38417400</v>
      </c>
      <c r="D30" s="34" t="s">
        <v>28</v>
      </c>
      <c r="E30" s="35">
        <v>45878.03</v>
      </c>
      <c r="F30" s="12"/>
      <c r="I30" s="7"/>
      <c r="J30" s="8"/>
      <c r="K30" s="41"/>
      <c r="L30" s="41"/>
      <c r="M30" s="253">
        <f>M29-L30</f>
        <v>2800000</v>
      </c>
      <c r="N30" s="52" t="s">
        <v>48</v>
      </c>
    </row>
    <row r="31" spans="1:14" ht="15.6" x14ac:dyDescent="0.3">
      <c r="A31" s="33">
        <v>3000000</v>
      </c>
      <c r="B31" s="9"/>
      <c r="C31" s="9">
        <f t="shared" si="0"/>
        <v>-35417400</v>
      </c>
      <c r="D31" s="34" t="s">
        <v>35</v>
      </c>
      <c r="E31" s="35">
        <v>45931.493726851899</v>
      </c>
      <c r="F31" s="12"/>
      <c r="I31" s="7">
        <v>1</v>
      </c>
      <c r="J31" s="8">
        <v>45463</v>
      </c>
      <c r="K31" s="41"/>
      <c r="L31" s="41">
        <v>200000</v>
      </c>
      <c r="M31" s="253">
        <f t="shared" ref="M31:M46" si="2">M30-L31</f>
        <v>2600000</v>
      </c>
      <c r="N31" s="52">
        <v>45475</v>
      </c>
    </row>
    <row r="32" spans="1:14" ht="15.6" x14ac:dyDescent="0.3">
      <c r="A32" s="33">
        <v>2500000</v>
      </c>
      <c r="B32" s="9"/>
      <c r="C32" s="9">
        <f t="shared" si="0"/>
        <v>-32917400</v>
      </c>
      <c r="D32" s="34" t="s">
        <v>28</v>
      </c>
      <c r="E32" s="35">
        <v>45938.235499224502</v>
      </c>
      <c r="F32" s="12"/>
      <c r="I32" s="7">
        <v>2</v>
      </c>
      <c r="J32" s="8">
        <v>45493</v>
      </c>
      <c r="K32" s="41"/>
      <c r="L32" s="41">
        <v>200000</v>
      </c>
      <c r="M32" s="253">
        <f t="shared" si="2"/>
        <v>2400000</v>
      </c>
      <c r="N32" s="52">
        <v>45502</v>
      </c>
    </row>
    <row r="33" spans="1:14" ht="15.6" x14ac:dyDescent="0.3">
      <c r="A33" s="33">
        <v>2000000</v>
      </c>
      <c r="B33" s="9"/>
      <c r="C33" s="9">
        <f t="shared" si="0"/>
        <v>-30917400</v>
      </c>
      <c r="D33" s="34" t="s">
        <v>36</v>
      </c>
      <c r="E33" s="35">
        <v>45993.832181400503</v>
      </c>
      <c r="F33" s="12"/>
      <c r="I33" s="7">
        <v>3</v>
      </c>
      <c r="J33" s="8">
        <v>45524</v>
      </c>
      <c r="K33" s="41"/>
      <c r="L33" s="41">
        <v>200000</v>
      </c>
      <c r="M33" s="253">
        <f t="shared" si="2"/>
        <v>2200000</v>
      </c>
      <c r="N33" s="52">
        <v>45564</v>
      </c>
    </row>
    <row r="34" spans="1:14" ht="15.6" x14ac:dyDescent="0.3">
      <c r="A34" s="33">
        <v>5000000</v>
      </c>
      <c r="B34" s="9"/>
      <c r="C34" s="9">
        <f t="shared" si="0"/>
        <v>-25917400</v>
      </c>
      <c r="D34" s="34" t="s">
        <v>28</v>
      </c>
      <c r="E34" s="35">
        <v>46008.155022222199</v>
      </c>
      <c r="F34" s="12"/>
      <c r="I34" s="7">
        <v>4</v>
      </c>
      <c r="J34" s="8">
        <v>45555</v>
      </c>
      <c r="K34" s="41"/>
      <c r="L34" s="41">
        <v>200000</v>
      </c>
      <c r="M34" s="253">
        <f t="shared" si="2"/>
        <v>2000000</v>
      </c>
      <c r="N34" s="7" t="s">
        <v>45</v>
      </c>
    </row>
    <row r="35" spans="1:14" ht="15.6" x14ac:dyDescent="0.3">
      <c r="A35" s="36">
        <v>2000000</v>
      </c>
      <c r="B35" s="9"/>
      <c r="C35" s="9">
        <f t="shared" si="0"/>
        <v>-23917400</v>
      </c>
      <c r="D35" s="37" t="s">
        <v>300</v>
      </c>
      <c r="E35" s="35">
        <v>46032.155023148145</v>
      </c>
      <c r="F35" s="12"/>
      <c r="I35" s="7">
        <v>5</v>
      </c>
      <c r="J35" s="8">
        <v>45585</v>
      </c>
      <c r="K35" s="41"/>
      <c r="L35" s="41">
        <v>200000</v>
      </c>
      <c r="M35" s="253">
        <f t="shared" si="2"/>
        <v>1800000</v>
      </c>
      <c r="N35" s="7" t="s">
        <v>45</v>
      </c>
    </row>
    <row r="36" spans="1:14" ht="15.6" x14ac:dyDescent="0.3">
      <c r="A36" s="36"/>
      <c r="B36" s="9">
        <v>13500000</v>
      </c>
      <c r="C36" s="9">
        <f t="shared" si="0"/>
        <v>-37417400</v>
      </c>
      <c r="D36" s="37" t="s">
        <v>301</v>
      </c>
      <c r="E36" s="35">
        <v>46032.155023148145</v>
      </c>
      <c r="F36" s="12"/>
      <c r="I36" s="7">
        <v>6</v>
      </c>
      <c r="J36" s="8">
        <v>45616</v>
      </c>
      <c r="K36" s="41"/>
      <c r="L36" s="41">
        <v>200000</v>
      </c>
      <c r="M36" s="253">
        <f t="shared" si="2"/>
        <v>1600000</v>
      </c>
      <c r="N36" s="7" t="s">
        <v>45</v>
      </c>
    </row>
    <row r="37" spans="1:14" ht="15.6" x14ac:dyDescent="0.3">
      <c r="A37" s="36">
        <v>2000000</v>
      </c>
      <c r="B37" s="9"/>
      <c r="C37" s="9">
        <f t="shared" si="0"/>
        <v>-35417400</v>
      </c>
      <c r="D37" s="37" t="s">
        <v>302</v>
      </c>
      <c r="E37" s="35">
        <v>46043.155023148145</v>
      </c>
      <c r="F37" s="12"/>
      <c r="I37" s="7">
        <v>7</v>
      </c>
      <c r="J37" s="8">
        <v>45646</v>
      </c>
      <c r="K37" s="41"/>
      <c r="L37" s="41">
        <v>200000</v>
      </c>
      <c r="M37" s="253">
        <f t="shared" si="2"/>
        <v>1400000</v>
      </c>
      <c r="N37" s="7" t="s">
        <v>45</v>
      </c>
    </row>
    <row r="38" spans="1:14" ht="15.6" x14ac:dyDescent="0.3">
      <c r="A38" s="33">
        <v>5000000</v>
      </c>
      <c r="B38" s="9"/>
      <c r="C38" s="9">
        <f t="shared" si="0"/>
        <v>-30417400</v>
      </c>
      <c r="D38" s="37" t="s">
        <v>28</v>
      </c>
      <c r="E38" s="35">
        <v>46055.155023148145</v>
      </c>
      <c r="F38" s="12"/>
      <c r="I38" s="7">
        <v>8</v>
      </c>
      <c r="J38" s="8">
        <v>45677</v>
      </c>
      <c r="K38" s="41"/>
      <c r="L38" s="41">
        <v>200000</v>
      </c>
      <c r="M38" s="253">
        <f t="shared" si="2"/>
        <v>1200000</v>
      </c>
      <c r="N38" s="7" t="s">
        <v>45</v>
      </c>
    </row>
    <row r="39" spans="1:14" ht="15.6" x14ac:dyDescent="0.3">
      <c r="A39" s="33"/>
      <c r="B39" s="9">
        <v>6750000</v>
      </c>
      <c r="C39" s="9">
        <f t="shared" si="0"/>
        <v>-37167400</v>
      </c>
      <c r="D39" s="37" t="s">
        <v>570</v>
      </c>
      <c r="E39" s="35">
        <v>46080</v>
      </c>
      <c r="F39" s="12"/>
      <c r="I39" s="7">
        <v>9</v>
      </c>
      <c r="J39" s="8">
        <v>45708</v>
      </c>
      <c r="K39" s="41"/>
      <c r="L39" s="41">
        <v>200000</v>
      </c>
      <c r="M39" s="253">
        <f t="shared" si="2"/>
        <v>1000000</v>
      </c>
      <c r="N39" s="7" t="s">
        <v>45</v>
      </c>
    </row>
    <row r="40" spans="1:14" ht="15.6" x14ac:dyDescent="0.3">
      <c r="A40" s="33">
        <v>4000000</v>
      </c>
      <c r="B40" s="9"/>
      <c r="C40" s="9">
        <f t="shared" si="0"/>
        <v>-33167400</v>
      </c>
      <c r="D40" s="37" t="s">
        <v>28</v>
      </c>
      <c r="E40" s="35">
        <v>46098.155023148145</v>
      </c>
      <c r="F40" s="12"/>
      <c r="I40" s="7">
        <v>10</v>
      </c>
      <c r="J40" s="8">
        <v>45736</v>
      </c>
      <c r="K40" s="41"/>
      <c r="L40" s="41">
        <v>200000</v>
      </c>
      <c r="M40" s="253">
        <f t="shared" si="2"/>
        <v>800000</v>
      </c>
      <c r="N40" s="7" t="s">
        <v>45</v>
      </c>
    </row>
    <row r="41" spans="1:14" ht="15.6" x14ac:dyDescent="0.3">
      <c r="A41" s="213">
        <v>2000000</v>
      </c>
      <c r="B41" s="214"/>
      <c r="C41" s="9">
        <f t="shared" si="0"/>
        <v>-31167400</v>
      </c>
      <c r="D41" s="215" t="s">
        <v>453</v>
      </c>
      <c r="E41" s="216">
        <v>45908</v>
      </c>
      <c r="F41" s="278" t="s">
        <v>462</v>
      </c>
      <c r="I41" s="7">
        <v>11</v>
      </c>
      <c r="J41" s="46">
        <v>45767</v>
      </c>
      <c r="K41" s="47"/>
      <c r="L41" s="47">
        <v>200000</v>
      </c>
      <c r="M41" s="255">
        <f t="shared" si="2"/>
        <v>600000</v>
      </c>
      <c r="N41" s="48" t="s">
        <v>514</v>
      </c>
    </row>
    <row r="42" spans="1:14" ht="15.6" x14ac:dyDescent="0.3">
      <c r="A42" s="213">
        <v>100000</v>
      </c>
      <c r="B42" s="214"/>
      <c r="C42" s="9">
        <f t="shared" si="0"/>
        <v>-31067400</v>
      </c>
      <c r="D42" s="215" t="s">
        <v>454</v>
      </c>
      <c r="E42" s="216" t="s">
        <v>459</v>
      </c>
      <c r="F42" s="279"/>
      <c r="I42" s="7">
        <v>12</v>
      </c>
      <c r="J42" s="62">
        <v>45797</v>
      </c>
      <c r="K42" s="42"/>
      <c r="L42" s="42"/>
      <c r="M42" s="256">
        <f t="shared" si="2"/>
        <v>600000</v>
      </c>
      <c r="N42" s="176"/>
    </row>
    <row r="43" spans="1:14" ht="15.6" x14ac:dyDescent="0.3">
      <c r="A43" s="213">
        <v>19500</v>
      </c>
      <c r="B43" s="214"/>
      <c r="C43" s="9">
        <f t="shared" si="0"/>
        <v>-31047900</v>
      </c>
      <c r="D43" s="215" t="s">
        <v>455</v>
      </c>
      <c r="E43" s="216" t="s">
        <v>460</v>
      </c>
      <c r="F43" s="279"/>
      <c r="I43" s="7">
        <v>13</v>
      </c>
      <c r="J43" s="62">
        <v>45828</v>
      </c>
      <c r="K43" s="42"/>
      <c r="L43" s="42"/>
      <c r="M43" s="256">
        <f t="shared" si="2"/>
        <v>600000</v>
      </c>
      <c r="N43" s="176"/>
    </row>
    <row r="44" spans="1:14" ht="15.6" x14ac:dyDescent="0.3">
      <c r="A44" s="213">
        <v>80000</v>
      </c>
      <c r="B44" s="214"/>
      <c r="C44" s="9">
        <f t="shared" si="0"/>
        <v>-30967900</v>
      </c>
      <c r="D44" s="215" t="s">
        <v>456</v>
      </c>
      <c r="E44" s="216" t="s">
        <v>461</v>
      </c>
      <c r="F44" s="279"/>
      <c r="I44" s="7">
        <v>14</v>
      </c>
      <c r="J44" s="62">
        <v>45858</v>
      </c>
      <c r="K44" s="42"/>
      <c r="L44" s="42"/>
      <c r="M44" s="256">
        <f t="shared" si="2"/>
        <v>600000</v>
      </c>
      <c r="N44" s="176"/>
    </row>
    <row r="45" spans="1:14" ht="15.6" x14ac:dyDescent="0.3">
      <c r="A45" s="213"/>
      <c r="B45" s="214">
        <v>4629500</v>
      </c>
      <c r="C45" s="9">
        <f t="shared" si="0"/>
        <v>-35597400</v>
      </c>
      <c r="D45" s="215" t="s">
        <v>457</v>
      </c>
      <c r="E45" s="216" t="s">
        <v>255</v>
      </c>
      <c r="F45" s="279"/>
      <c r="I45" s="7"/>
      <c r="J45" s="8"/>
      <c r="K45" s="41"/>
      <c r="L45" s="41"/>
      <c r="M45" s="253">
        <f t="shared" si="2"/>
        <v>600000</v>
      </c>
      <c r="N45" s="7"/>
    </row>
    <row r="46" spans="1:14" ht="15.6" x14ac:dyDescent="0.3">
      <c r="A46" s="213">
        <v>1000000</v>
      </c>
      <c r="B46" s="214"/>
      <c r="C46" s="9">
        <f t="shared" si="0"/>
        <v>-34597400</v>
      </c>
      <c r="D46" s="215" t="s">
        <v>458</v>
      </c>
      <c r="E46" s="216" t="s">
        <v>232</v>
      </c>
      <c r="F46" s="280"/>
      <c r="I46" s="7"/>
      <c r="J46" s="8"/>
      <c r="K46" s="41"/>
      <c r="L46" s="41"/>
      <c r="M46" s="253">
        <f t="shared" si="2"/>
        <v>600000</v>
      </c>
      <c r="N46" s="7"/>
    </row>
    <row r="47" spans="1:14" x14ac:dyDescent="0.3">
      <c r="A47" s="39">
        <v>8000000</v>
      </c>
      <c r="B47" s="9"/>
      <c r="C47" s="9">
        <f t="shared" si="0"/>
        <v>-26597400</v>
      </c>
      <c r="D47" s="37" t="s">
        <v>28</v>
      </c>
      <c r="E47" s="38" t="s">
        <v>487</v>
      </c>
      <c r="F47" s="12"/>
    </row>
    <row r="48" spans="1:14" x14ac:dyDescent="0.3">
      <c r="A48" s="39">
        <v>4750000</v>
      </c>
      <c r="B48" s="9"/>
      <c r="C48" s="9">
        <f t="shared" si="0"/>
        <v>-21847400</v>
      </c>
      <c r="D48" s="37" t="s">
        <v>551</v>
      </c>
      <c r="E48" s="38">
        <v>46228</v>
      </c>
      <c r="F48" s="12"/>
    </row>
    <row r="49" spans="1:14" ht="15.6" x14ac:dyDescent="0.3">
      <c r="A49" s="39">
        <v>200000</v>
      </c>
      <c r="B49" s="9"/>
      <c r="C49" s="9">
        <f t="shared" si="0"/>
        <v>-21647400</v>
      </c>
      <c r="D49" s="37" t="s">
        <v>552</v>
      </c>
      <c r="E49" s="38">
        <v>46259</v>
      </c>
      <c r="F49" s="12"/>
      <c r="I49" s="1"/>
      <c r="J49" s="1"/>
      <c r="K49" s="277"/>
      <c r="L49" s="277"/>
      <c r="M49" s="254"/>
      <c r="N49" s="1"/>
    </row>
    <row r="50" spans="1:14" ht="15.6" x14ac:dyDescent="0.3">
      <c r="A50" s="39">
        <v>4250000</v>
      </c>
      <c r="B50" s="9"/>
      <c r="C50" s="9">
        <f t="shared" si="0"/>
        <v>-17397400</v>
      </c>
      <c r="D50" s="37" t="s">
        <v>579</v>
      </c>
      <c r="E50" s="38">
        <v>46032</v>
      </c>
      <c r="F50" s="12"/>
      <c r="I50" s="6"/>
      <c r="J50" s="5" t="s">
        <v>37</v>
      </c>
      <c r="K50" s="6" t="s">
        <v>49</v>
      </c>
      <c r="L50" s="272" t="s">
        <v>39</v>
      </c>
      <c r="M50" s="272"/>
      <c r="N50" s="6" t="s">
        <v>50</v>
      </c>
    </row>
    <row r="51" spans="1:14" ht="15.6" x14ac:dyDescent="0.3">
      <c r="A51" s="39">
        <v>4000000</v>
      </c>
      <c r="B51" s="9"/>
      <c r="C51" s="9">
        <f t="shared" si="0"/>
        <v>-13397400</v>
      </c>
      <c r="D51" s="37" t="s">
        <v>580</v>
      </c>
      <c r="E51" s="38">
        <v>46032</v>
      </c>
      <c r="F51" s="12"/>
      <c r="I51" s="7" t="s">
        <v>40</v>
      </c>
      <c r="J51" s="7" t="s">
        <v>6</v>
      </c>
      <c r="K51" s="41" t="s">
        <v>41</v>
      </c>
      <c r="L51" s="41" t="s">
        <v>42</v>
      </c>
      <c r="M51" s="253" t="s">
        <v>43</v>
      </c>
      <c r="N51" s="7" t="s">
        <v>7</v>
      </c>
    </row>
    <row r="52" spans="1:14" ht="15.6" x14ac:dyDescent="0.3">
      <c r="A52" s="39"/>
      <c r="B52" s="9"/>
      <c r="C52" s="9">
        <f t="shared" si="0"/>
        <v>-13397400</v>
      </c>
      <c r="D52" s="37"/>
      <c r="E52" s="38"/>
      <c r="F52" s="12"/>
      <c r="I52" s="7"/>
      <c r="J52" s="7"/>
      <c r="K52" s="41">
        <f>4400000</f>
        <v>4400000</v>
      </c>
      <c r="L52" s="41"/>
      <c r="M52" s="253">
        <f>K52-L52</f>
        <v>4400000</v>
      </c>
      <c r="N52" s="7" t="s">
        <v>44</v>
      </c>
    </row>
    <row r="53" spans="1:14" ht="15.6" x14ac:dyDescent="0.3">
      <c r="A53" s="39"/>
      <c r="B53" s="9"/>
      <c r="C53" s="9">
        <f t="shared" si="0"/>
        <v>-13397400</v>
      </c>
      <c r="D53" s="37"/>
      <c r="E53" s="38"/>
      <c r="F53" s="12"/>
      <c r="I53" s="7"/>
      <c r="J53" s="8"/>
      <c r="K53" s="41"/>
      <c r="L53" s="41"/>
      <c r="M53" s="253">
        <f>M52-L53</f>
        <v>4400000</v>
      </c>
      <c r="N53" s="7"/>
    </row>
    <row r="54" spans="1:14" ht="15.6" x14ac:dyDescent="0.3">
      <c r="A54" s="39"/>
      <c r="B54" s="9"/>
      <c r="C54" s="9">
        <f t="shared" si="0"/>
        <v>-13397400</v>
      </c>
      <c r="D54" s="37"/>
      <c r="E54" s="38"/>
      <c r="F54" s="12"/>
      <c r="I54" s="7">
        <v>1</v>
      </c>
      <c r="J54" s="8">
        <v>45524</v>
      </c>
      <c r="K54" s="41"/>
      <c r="L54" s="41">
        <v>300000</v>
      </c>
      <c r="M54" s="253">
        <f>M53-L54</f>
        <v>4100000</v>
      </c>
      <c r="N54" s="52">
        <v>45564</v>
      </c>
    </row>
    <row r="55" spans="1:14" ht="15.6" x14ac:dyDescent="0.3">
      <c r="A55" s="39"/>
      <c r="B55" s="9"/>
      <c r="C55" s="9">
        <f t="shared" si="0"/>
        <v>-13397400</v>
      </c>
      <c r="D55" s="37"/>
      <c r="E55" s="38"/>
      <c r="F55" s="12"/>
      <c r="I55" s="7">
        <v>2</v>
      </c>
      <c r="J55" s="8">
        <v>45555</v>
      </c>
      <c r="K55" s="41"/>
      <c r="L55" s="41">
        <v>300000</v>
      </c>
      <c r="M55" s="253">
        <f>M54-L55</f>
        <v>3800000</v>
      </c>
      <c r="N55" s="52" t="s">
        <v>45</v>
      </c>
    </row>
    <row r="56" spans="1:14" ht="15.6" x14ac:dyDescent="0.3">
      <c r="A56" s="39"/>
      <c r="B56" s="9"/>
      <c r="C56" s="9">
        <f t="shared" si="0"/>
        <v>-13397400</v>
      </c>
      <c r="D56" s="37"/>
      <c r="E56" s="38"/>
      <c r="F56" s="12"/>
      <c r="I56" s="7">
        <v>3</v>
      </c>
      <c r="J56" s="8">
        <v>45585</v>
      </c>
      <c r="K56" s="41"/>
      <c r="L56" s="42">
        <v>300000</v>
      </c>
      <c r="M56" s="253">
        <f t="shared" ref="M56:M70" si="3">M55-L56</f>
        <v>3500000</v>
      </c>
      <c r="N56" s="52" t="s">
        <v>45</v>
      </c>
    </row>
    <row r="57" spans="1:14" ht="15.6" x14ac:dyDescent="0.3">
      <c r="A57" s="39"/>
      <c r="B57" s="9"/>
      <c r="C57" s="9">
        <f t="shared" si="0"/>
        <v>-13397400</v>
      </c>
      <c r="D57" s="37"/>
      <c r="E57" s="38"/>
      <c r="F57" s="12"/>
      <c r="I57" s="7">
        <v>4</v>
      </c>
      <c r="J57" s="8">
        <v>45616</v>
      </c>
      <c r="K57" s="41"/>
      <c r="L57" s="42">
        <v>300000</v>
      </c>
      <c r="M57" s="253">
        <f t="shared" si="3"/>
        <v>3200000</v>
      </c>
      <c r="N57" s="52" t="s">
        <v>45</v>
      </c>
    </row>
    <row r="58" spans="1:14" ht="15.6" x14ac:dyDescent="0.3">
      <c r="A58" s="39"/>
      <c r="B58" s="9"/>
      <c r="C58" s="9">
        <f t="shared" si="0"/>
        <v>-13397400</v>
      </c>
      <c r="D58" s="37"/>
      <c r="E58" s="38"/>
      <c r="F58" s="12"/>
      <c r="I58" s="7">
        <v>5</v>
      </c>
      <c r="J58" s="8">
        <v>45646</v>
      </c>
      <c r="K58" s="41"/>
      <c r="L58" s="42">
        <v>300000</v>
      </c>
      <c r="M58" s="253">
        <f t="shared" si="3"/>
        <v>2900000</v>
      </c>
      <c r="N58" s="52" t="s">
        <v>45</v>
      </c>
    </row>
    <row r="59" spans="1:14" ht="15.6" x14ac:dyDescent="0.3">
      <c r="A59" s="39"/>
      <c r="B59" s="9"/>
      <c r="C59" s="9">
        <f t="shared" si="0"/>
        <v>-13397400</v>
      </c>
      <c r="D59" s="37"/>
      <c r="E59" s="38"/>
      <c r="F59" s="12"/>
      <c r="I59" s="7">
        <v>6</v>
      </c>
      <c r="J59" s="8">
        <v>45677</v>
      </c>
      <c r="K59" s="41"/>
      <c r="L59" s="41">
        <v>300000</v>
      </c>
      <c r="M59" s="253">
        <f t="shared" si="3"/>
        <v>2600000</v>
      </c>
      <c r="N59" s="52" t="s">
        <v>45</v>
      </c>
    </row>
    <row r="60" spans="1:14" ht="15.6" x14ac:dyDescent="0.3">
      <c r="A60" s="39"/>
      <c r="B60" s="9"/>
      <c r="C60" s="9">
        <f t="shared" si="0"/>
        <v>-13397400</v>
      </c>
      <c r="D60" s="37"/>
      <c r="E60" s="38"/>
      <c r="F60" s="12"/>
      <c r="I60" s="7">
        <v>7</v>
      </c>
      <c r="J60" s="8">
        <v>45708</v>
      </c>
      <c r="K60" s="41"/>
      <c r="L60" s="41">
        <v>300000</v>
      </c>
      <c r="M60" s="253">
        <f t="shared" si="3"/>
        <v>2300000</v>
      </c>
      <c r="N60" s="52" t="s">
        <v>45</v>
      </c>
    </row>
    <row r="61" spans="1:14" ht="15.6" x14ac:dyDescent="0.3">
      <c r="A61" s="39"/>
      <c r="B61" s="9"/>
      <c r="C61" s="9">
        <f t="shared" si="0"/>
        <v>-13397400</v>
      </c>
      <c r="D61" s="37"/>
      <c r="E61" s="38"/>
      <c r="F61" s="12"/>
      <c r="I61" s="7">
        <v>8</v>
      </c>
      <c r="J61" s="8">
        <v>45736</v>
      </c>
      <c r="K61" s="41"/>
      <c r="L61" s="41">
        <v>300000</v>
      </c>
      <c r="M61" s="253">
        <f t="shared" si="3"/>
        <v>2000000</v>
      </c>
      <c r="N61" s="52" t="s">
        <v>45</v>
      </c>
    </row>
    <row r="62" spans="1:14" ht="15.6" x14ac:dyDescent="0.3">
      <c r="A62" s="39"/>
      <c r="B62" s="9"/>
      <c r="C62" s="9">
        <f t="shared" si="0"/>
        <v>-13397400</v>
      </c>
      <c r="D62" s="37"/>
      <c r="E62" s="38"/>
      <c r="F62" s="12"/>
      <c r="I62" s="7">
        <v>9</v>
      </c>
      <c r="J62" s="8">
        <v>45767</v>
      </c>
      <c r="K62" s="41"/>
      <c r="L62" s="41">
        <v>300000</v>
      </c>
      <c r="M62" s="253">
        <f t="shared" si="3"/>
        <v>1700000</v>
      </c>
      <c r="N62" s="52" t="s">
        <v>45</v>
      </c>
    </row>
    <row r="63" spans="1:14" ht="15.6" x14ac:dyDescent="0.3">
      <c r="A63" s="39"/>
      <c r="B63" s="9"/>
      <c r="C63" s="9">
        <f t="shared" si="0"/>
        <v>-13397400</v>
      </c>
      <c r="D63" s="37"/>
      <c r="E63" s="38"/>
      <c r="F63" s="12"/>
      <c r="I63" s="7">
        <v>10</v>
      </c>
      <c r="J63" s="8">
        <v>45797</v>
      </c>
      <c r="K63" s="41"/>
      <c r="L63" s="41">
        <v>300000</v>
      </c>
      <c r="M63" s="253">
        <f t="shared" si="3"/>
        <v>1400000</v>
      </c>
      <c r="N63" s="52" t="s">
        <v>45</v>
      </c>
    </row>
    <row r="64" spans="1:14" ht="15.6" x14ac:dyDescent="0.3">
      <c r="A64" s="9"/>
      <c r="B64" s="9"/>
      <c r="C64" s="9">
        <f t="shared" si="0"/>
        <v>-13397400</v>
      </c>
      <c r="D64" s="40"/>
      <c r="E64" s="11"/>
      <c r="F64" s="12"/>
      <c r="I64" s="7">
        <v>11</v>
      </c>
      <c r="J64" s="8">
        <v>45828</v>
      </c>
      <c r="K64" s="41"/>
      <c r="L64" s="41">
        <v>300000</v>
      </c>
      <c r="M64" s="253">
        <f t="shared" si="3"/>
        <v>1100000</v>
      </c>
      <c r="N64" s="52" t="s">
        <v>45</v>
      </c>
    </row>
    <row r="65" spans="1:14" ht="15.6" x14ac:dyDescent="0.3">
      <c r="A65" s="9"/>
      <c r="B65" s="9"/>
      <c r="C65" s="9">
        <f t="shared" si="0"/>
        <v>-13397400</v>
      </c>
      <c r="D65" s="40"/>
      <c r="E65" s="11"/>
      <c r="F65" s="12"/>
      <c r="I65" s="7">
        <v>12</v>
      </c>
      <c r="J65" s="8">
        <v>45858</v>
      </c>
      <c r="K65" s="41"/>
      <c r="L65" s="41">
        <v>300000</v>
      </c>
      <c r="M65" s="253">
        <f t="shared" si="3"/>
        <v>800000</v>
      </c>
      <c r="N65" s="52" t="s">
        <v>45</v>
      </c>
    </row>
    <row r="66" spans="1:14" ht="15.6" x14ac:dyDescent="0.3">
      <c r="A66" s="9"/>
      <c r="B66" s="9"/>
      <c r="C66" s="9">
        <f t="shared" si="0"/>
        <v>-13397400</v>
      </c>
      <c r="D66" s="40"/>
      <c r="E66" s="11"/>
      <c r="F66" s="12"/>
      <c r="I66" s="7">
        <v>13</v>
      </c>
      <c r="J66" s="8">
        <v>45889</v>
      </c>
      <c r="K66" s="41"/>
      <c r="L66" s="41">
        <v>300000</v>
      </c>
      <c r="M66" s="253">
        <f t="shared" si="3"/>
        <v>500000</v>
      </c>
      <c r="N66" s="52" t="s">
        <v>45</v>
      </c>
    </row>
    <row r="67" spans="1:14" ht="15.6" x14ac:dyDescent="0.3">
      <c r="A67" s="9"/>
      <c r="B67" s="9"/>
      <c r="C67" s="9">
        <f t="shared" si="0"/>
        <v>-13397400</v>
      </c>
      <c r="D67" s="40"/>
      <c r="E67" s="11"/>
      <c r="F67" s="12"/>
      <c r="I67" s="7">
        <v>14</v>
      </c>
      <c r="J67" s="8">
        <v>45920</v>
      </c>
      <c r="K67" s="41"/>
      <c r="L67" s="41">
        <v>300000</v>
      </c>
      <c r="M67" s="253">
        <f t="shared" si="3"/>
        <v>200000</v>
      </c>
      <c r="N67" s="52" t="s">
        <v>45</v>
      </c>
    </row>
    <row r="68" spans="1:14" ht="15.6" x14ac:dyDescent="0.3">
      <c r="A68" s="9"/>
      <c r="B68" s="9"/>
      <c r="C68" s="9">
        <f t="shared" si="0"/>
        <v>-13397400</v>
      </c>
      <c r="D68" s="40"/>
      <c r="E68" s="11"/>
      <c r="F68" s="12"/>
      <c r="I68" s="7">
        <v>15</v>
      </c>
      <c r="J68" s="8">
        <v>45950</v>
      </c>
      <c r="K68" s="41"/>
      <c r="L68" s="41">
        <v>200000</v>
      </c>
      <c r="M68" s="253">
        <f t="shared" si="3"/>
        <v>0</v>
      </c>
      <c r="N68" s="52" t="s">
        <v>45</v>
      </c>
    </row>
    <row r="69" spans="1:14" ht="15.6" x14ac:dyDescent="0.3">
      <c r="A69" s="9"/>
      <c r="B69" s="9"/>
      <c r="C69" s="9">
        <f t="shared" si="0"/>
        <v>-13397400</v>
      </c>
      <c r="D69" s="40"/>
      <c r="E69" s="11"/>
      <c r="F69" s="12"/>
      <c r="I69" s="7"/>
      <c r="J69" s="46"/>
      <c r="K69" s="47"/>
      <c r="L69" s="47"/>
      <c r="M69" s="255">
        <f t="shared" si="3"/>
        <v>0</v>
      </c>
      <c r="N69" s="48" t="s">
        <v>515</v>
      </c>
    </row>
    <row r="70" spans="1:14" ht="15.6" x14ac:dyDescent="0.3">
      <c r="A70" s="9"/>
      <c r="B70" s="9"/>
      <c r="C70" s="9">
        <f t="shared" si="0"/>
        <v>-13397400</v>
      </c>
      <c r="D70" s="40"/>
      <c r="E70" s="11"/>
      <c r="F70" s="12"/>
      <c r="I70" s="7"/>
      <c r="J70" s="8"/>
      <c r="K70" s="41"/>
      <c r="L70" s="41"/>
      <c r="M70" s="253">
        <f t="shared" si="3"/>
        <v>0</v>
      </c>
      <c r="N70" s="7"/>
    </row>
    <row r="71" spans="1:14" x14ac:dyDescent="0.3">
      <c r="A71" s="9"/>
      <c r="B71" s="9"/>
      <c r="C71" s="9">
        <f t="shared" ref="C71:C134" si="4">IF(A71&gt;0,C70+A71-B71,C70-B71)</f>
        <v>-13397400</v>
      </c>
      <c r="D71" s="40"/>
      <c r="E71" s="11"/>
      <c r="F71" s="12"/>
    </row>
    <row r="72" spans="1:14" x14ac:dyDescent="0.3">
      <c r="A72" s="9"/>
      <c r="B72" s="9"/>
      <c r="C72" s="9">
        <f t="shared" si="4"/>
        <v>-13397400</v>
      </c>
      <c r="D72" s="40"/>
      <c r="E72" s="11"/>
      <c r="F72" s="12"/>
    </row>
    <row r="73" spans="1:14" ht="15.6" x14ac:dyDescent="0.3">
      <c r="A73" s="9"/>
      <c r="B73" s="9"/>
      <c r="C73" s="9">
        <f t="shared" si="4"/>
        <v>-13397400</v>
      </c>
      <c r="D73" s="40"/>
      <c r="E73" s="11"/>
      <c r="F73" s="12"/>
      <c r="I73" s="1"/>
      <c r="J73" s="1"/>
      <c r="K73" s="277"/>
      <c r="L73" s="277"/>
      <c r="M73" s="254"/>
      <c r="N73" s="1"/>
    </row>
    <row r="74" spans="1:14" ht="15.6" x14ac:dyDescent="0.3">
      <c r="A74" s="9"/>
      <c r="B74" s="9"/>
      <c r="C74" s="9">
        <f t="shared" si="4"/>
        <v>-13397400</v>
      </c>
      <c r="D74" s="40"/>
      <c r="E74" s="11"/>
      <c r="F74" s="12"/>
      <c r="I74" s="6"/>
      <c r="J74" s="5" t="s">
        <v>37</v>
      </c>
      <c r="K74" s="6" t="s">
        <v>52</v>
      </c>
      <c r="L74" s="272" t="s">
        <v>53</v>
      </c>
      <c r="M74" s="272"/>
      <c r="N74" s="6" t="s">
        <v>54</v>
      </c>
    </row>
    <row r="75" spans="1:14" ht="15.6" x14ac:dyDescent="0.3">
      <c r="A75" s="9"/>
      <c r="B75" s="9"/>
      <c r="C75" s="9">
        <f t="shared" si="4"/>
        <v>-13397400</v>
      </c>
      <c r="D75" s="29"/>
      <c r="E75" s="11"/>
      <c r="F75" s="12"/>
      <c r="I75" s="7" t="s">
        <v>40</v>
      </c>
      <c r="J75" s="7" t="s">
        <v>6</v>
      </c>
      <c r="K75" s="41" t="s">
        <v>41</v>
      </c>
      <c r="L75" s="41" t="s">
        <v>42</v>
      </c>
      <c r="M75" s="253" t="s">
        <v>43</v>
      </c>
      <c r="N75" s="7" t="s">
        <v>7</v>
      </c>
    </row>
    <row r="76" spans="1:14" ht="15.6" x14ac:dyDescent="0.3">
      <c r="A76" s="9"/>
      <c r="B76" s="9"/>
      <c r="C76" s="9">
        <f t="shared" si="4"/>
        <v>-13397400</v>
      </c>
      <c r="D76" s="40"/>
      <c r="E76" s="11"/>
      <c r="F76" s="12"/>
      <c r="I76" s="7"/>
      <c r="J76" s="7"/>
      <c r="K76" s="49">
        <f>12*220800</f>
        <v>2649600</v>
      </c>
      <c r="L76" s="41"/>
      <c r="M76" s="253">
        <f>K76-L76</f>
        <v>2649600</v>
      </c>
      <c r="N76" s="7" t="s">
        <v>44</v>
      </c>
    </row>
    <row r="77" spans="1:14" ht="15.6" x14ac:dyDescent="0.3">
      <c r="A77" s="9"/>
      <c r="B77" s="9"/>
      <c r="C77" s="9">
        <f t="shared" si="4"/>
        <v>-13397400</v>
      </c>
      <c r="D77" s="40"/>
      <c r="E77" s="11"/>
      <c r="F77" s="12"/>
      <c r="I77" s="7"/>
      <c r="J77" s="8"/>
      <c r="K77" s="41"/>
      <c r="L77" s="41"/>
      <c r="M77" s="253">
        <f>M76-L77</f>
        <v>2649600</v>
      </c>
      <c r="N77" s="7"/>
    </row>
    <row r="78" spans="1:14" ht="15.6" x14ac:dyDescent="0.3">
      <c r="A78" s="9"/>
      <c r="B78" s="9"/>
      <c r="C78" s="9">
        <f t="shared" si="4"/>
        <v>-13397400</v>
      </c>
      <c r="D78" s="40"/>
      <c r="E78" s="11"/>
      <c r="F78" s="12"/>
      <c r="I78" s="7"/>
      <c r="J78" s="8"/>
      <c r="K78" s="41"/>
      <c r="L78" s="49"/>
      <c r="M78" s="253">
        <f>M77-L78</f>
        <v>2649600</v>
      </c>
      <c r="N78" s="7" t="s">
        <v>55</v>
      </c>
    </row>
    <row r="79" spans="1:14" ht="15.6" x14ac:dyDescent="0.3">
      <c r="A79" s="9"/>
      <c r="B79" s="9"/>
      <c r="C79" s="9">
        <f t="shared" si="4"/>
        <v>-13397400</v>
      </c>
      <c r="D79" s="40"/>
      <c r="E79" s="11"/>
      <c r="F79" s="12"/>
      <c r="I79" s="7">
        <v>1</v>
      </c>
      <c r="J79" s="8">
        <v>45427</v>
      </c>
      <c r="K79" s="41"/>
      <c r="L79" s="41">
        <v>220800</v>
      </c>
      <c r="M79" s="253">
        <f t="shared" ref="M79:M92" si="5">M78-L79</f>
        <v>2428800</v>
      </c>
      <c r="N79" s="52" t="s">
        <v>56</v>
      </c>
    </row>
    <row r="80" spans="1:14" ht="15.6" x14ac:dyDescent="0.3">
      <c r="A80" s="9"/>
      <c r="B80" s="9"/>
      <c r="C80" s="9">
        <f t="shared" si="4"/>
        <v>-13397400</v>
      </c>
      <c r="D80" s="40"/>
      <c r="E80" s="11"/>
      <c r="F80" s="12"/>
      <c r="I80" s="7">
        <v>2</v>
      </c>
      <c r="J80" s="8">
        <v>45458</v>
      </c>
      <c r="K80" s="41"/>
      <c r="L80" s="41">
        <v>220800</v>
      </c>
      <c r="M80" s="253">
        <f t="shared" si="5"/>
        <v>2208000</v>
      </c>
      <c r="N80" s="7" t="s">
        <v>45</v>
      </c>
    </row>
    <row r="81" spans="1:14" ht="15.6" x14ac:dyDescent="0.3">
      <c r="A81" s="9"/>
      <c r="B81" s="9"/>
      <c r="C81" s="9">
        <f t="shared" si="4"/>
        <v>-13397400</v>
      </c>
      <c r="D81" s="40"/>
      <c r="E81" s="11"/>
      <c r="F81" s="12"/>
      <c r="I81" s="7">
        <v>3</v>
      </c>
      <c r="J81" s="8">
        <v>45488</v>
      </c>
      <c r="K81" s="41"/>
      <c r="L81" s="41">
        <v>220800</v>
      </c>
      <c r="M81" s="253">
        <f t="shared" si="5"/>
        <v>1987200</v>
      </c>
      <c r="N81" s="52">
        <v>45502</v>
      </c>
    </row>
    <row r="82" spans="1:14" ht="15.6" x14ac:dyDescent="0.3">
      <c r="A82" s="9"/>
      <c r="B82" s="9"/>
      <c r="C82" s="9">
        <f t="shared" si="4"/>
        <v>-13397400</v>
      </c>
      <c r="D82" s="40"/>
      <c r="E82" s="11"/>
      <c r="F82" s="12"/>
      <c r="I82" s="7">
        <v>4</v>
      </c>
      <c r="J82" s="8">
        <v>45519</v>
      </c>
      <c r="K82" s="41"/>
      <c r="L82" s="41">
        <v>220800</v>
      </c>
      <c r="M82" s="253">
        <f t="shared" si="5"/>
        <v>1766400</v>
      </c>
      <c r="N82" s="52">
        <v>45564</v>
      </c>
    </row>
    <row r="83" spans="1:14" ht="15.6" x14ac:dyDescent="0.3">
      <c r="A83" s="9"/>
      <c r="B83" s="9"/>
      <c r="C83" s="9">
        <f t="shared" si="4"/>
        <v>-13397400</v>
      </c>
      <c r="D83" s="40"/>
      <c r="E83" s="11"/>
      <c r="F83" s="12"/>
      <c r="I83" s="7">
        <v>5</v>
      </c>
      <c r="J83" s="8">
        <v>45550</v>
      </c>
      <c r="K83" s="41"/>
      <c r="L83" s="41">
        <v>220800</v>
      </c>
      <c r="M83" s="253">
        <f t="shared" si="5"/>
        <v>1545600</v>
      </c>
      <c r="N83" s="7" t="s">
        <v>45</v>
      </c>
    </row>
    <row r="84" spans="1:14" ht="15.6" x14ac:dyDescent="0.3">
      <c r="A84" s="9"/>
      <c r="B84" s="9"/>
      <c r="C84" s="9">
        <f t="shared" si="4"/>
        <v>-13397400</v>
      </c>
      <c r="D84" s="40"/>
      <c r="E84" s="11"/>
      <c r="F84" s="12"/>
      <c r="I84" s="7">
        <v>6</v>
      </c>
      <c r="J84" s="8">
        <v>45580</v>
      </c>
      <c r="K84" s="41"/>
      <c r="L84" s="42">
        <v>220800</v>
      </c>
      <c r="M84" s="253">
        <f t="shared" si="5"/>
        <v>1324800</v>
      </c>
      <c r="N84" s="7" t="s">
        <v>45</v>
      </c>
    </row>
    <row r="85" spans="1:14" ht="15.6" x14ac:dyDescent="0.3">
      <c r="A85" s="9"/>
      <c r="B85" s="9"/>
      <c r="C85" s="9">
        <f t="shared" si="4"/>
        <v>-13397400</v>
      </c>
      <c r="D85" s="40"/>
      <c r="E85" s="11"/>
      <c r="F85" s="12"/>
      <c r="I85" s="7">
        <v>7</v>
      </c>
      <c r="J85" s="8">
        <v>45611</v>
      </c>
      <c r="K85" s="41"/>
      <c r="L85" s="42">
        <v>220800</v>
      </c>
      <c r="M85" s="253">
        <f t="shared" si="5"/>
        <v>1104000</v>
      </c>
      <c r="N85" s="7" t="s">
        <v>45</v>
      </c>
    </row>
    <row r="86" spans="1:14" ht="15.6" x14ac:dyDescent="0.3">
      <c r="A86" s="9"/>
      <c r="B86" s="9"/>
      <c r="C86" s="9">
        <f t="shared" si="4"/>
        <v>-13397400</v>
      </c>
      <c r="D86" s="40"/>
      <c r="E86" s="11"/>
      <c r="F86" s="12"/>
      <c r="I86" s="7">
        <v>8</v>
      </c>
      <c r="J86" s="8">
        <v>45641</v>
      </c>
      <c r="K86" s="41"/>
      <c r="L86" s="42">
        <v>220800</v>
      </c>
      <c r="M86" s="253">
        <f t="shared" si="5"/>
        <v>883200</v>
      </c>
      <c r="N86" s="7" t="s">
        <v>45</v>
      </c>
    </row>
    <row r="87" spans="1:14" ht="15.6" x14ac:dyDescent="0.3">
      <c r="A87" s="9"/>
      <c r="B87" s="9"/>
      <c r="C87" s="9">
        <f t="shared" si="4"/>
        <v>-13397400</v>
      </c>
      <c r="D87" s="40"/>
      <c r="E87" s="11"/>
      <c r="F87" s="12"/>
      <c r="I87" s="7">
        <v>9</v>
      </c>
      <c r="J87" s="8">
        <v>45672</v>
      </c>
      <c r="K87" s="41"/>
      <c r="L87" s="41">
        <v>220800</v>
      </c>
      <c r="M87" s="253">
        <f t="shared" si="5"/>
        <v>662400</v>
      </c>
      <c r="N87" s="7" t="s">
        <v>45</v>
      </c>
    </row>
    <row r="88" spans="1:14" ht="15.6" x14ac:dyDescent="0.3">
      <c r="A88" s="9"/>
      <c r="B88" s="9"/>
      <c r="C88" s="9">
        <f t="shared" si="4"/>
        <v>-13397400</v>
      </c>
      <c r="D88" s="40"/>
      <c r="E88" s="11"/>
      <c r="F88" s="12"/>
      <c r="I88" s="7">
        <v>10</v>
      </c>
      <c r="J88" s="8">
        <v>45703</v>
      </c>
      <c r="K88" s="41"/>
      <c r="L88" s="41">
        <v>220800</v>
      </c>
      <c r="M88" s="253">
        <f t="shared" si="5"/>
        <v>441600</v>
      </c>
      <c r="N88" s="7" t="s">
        <v>45</v>
      </c>
    </row>
    <row r="89" spans="1:14" ht="15.6" x14ac:dyDescent="0.3">
      <c r="A89" s="9"/>
      <c r="B89" s="9"/>
      <c r="C89" s="9">
        <f t="shared" si="4"/>
        <v>-13397400</v>
      </c>
      <c r="D89" s="40"/>
      <c r="E89" s="11"/>
      <c r="F89" s="12"/>
      <c r="I89" s="7">
        <v>11</v>
      </c>
      <c r="J89" s="8">
        <v>45731</v>
      </c>
      <c r="K89" s="41"/>
      <c r="L89" s="41">
        <v>220800</v>
      </c>
      <c r="M89" s="253">
        <f t="shared" si="5"/>
        <v>220800</v>
      </c>
      <c r="N89" s="7" t="s">
        <v>45</v>
      </c>
    </row>
    <row r="90" spans="1:14" ht="15.6" x14ac:dyDescent="0.3">
      <c r="A90" s="9"/>
      <c r="B90" s="9"/>
      <c r="C90" s="9">
        <f t="shared" si="4"/>
        <v>-13397400</v>
      </c>
      <c r="D90" s="40"/>
      <c r="E90" s="11"/>
      <c r="F90" s="12"/>
      <c r="I90" s="7">
        <v>12</v>
      </c>
      <c r="J90" s="8">
        <v>45762</v>
      </c>
      <c r="K90" s="41"/>
      <c r="L90" s="41">
        <v>220800</v>
      </c>
      <c r="M90" s="253">
        <f t="shared" si="5"/>
        <v>0</v>
      </c>
      <c r="N90" s="7" t="s">
        <v>45</v>
      </c>
    </row>
    <row r="91" spans="1:14" ht="15.6" x14ac:dyDescent="0.3">
      <c r="A91" s="9"/>
      <c r="B91" s="9"/>
      <c r="C91" s="9">
        <f t="shared" si="4"/>
        <v>-13397400</v>
      </c>
      <c r="D91" s="40"/>
      <c r="E91" s="11"/>
      <c r="F91" s="12"/>
      <c r="I91" s="7"/>
      <c r="J91" s="46"/>
      <c r="K91" s="47"/>
      <c r="L91" s="47"/>
      <c r="M91" s="255">
        <f t="shared" si="5"/>
        <v>0</v>
      </c>
      <c r="N91" s="48" t="s">
        <v>515</v>
      </c>
    </row>
    <row r="92" spans="1:14" ht="15.6" x14ac:dyDescent="0.3">
      <c r="A92" s="9"/>
      <c r="B92" s="9"/>
      <c r="C92" s="9">
        <f t="shared" si="4"/>
        <v>-13397400</v>
      </c>
      <c r="D92" s="40"/>
      <c r="E92" s="11"/>
      <c r="F92" s="12"/>
      <c r="I92" s="7"/>
      <c r="J92" s="8"/>
      <c r="K92" s="41"/>
      <c r="L92" s="41"/>
      <c r="M92" s="253">
        <f t="shared" si="5"/>
        <v>0</v>
      </c>
      <c r="N92" s="7"/>
    </row>
    <row r="93" spans="1:14" x14ac:dyDescent="0.3">
      <c r="A93" s="9"/>
      <c r="B93" s="9"/>
      <c r="C93" s="9">
        <f t="shared" si="4"/>
        <v>-13397400</v>
      </c>
      <c r="D93" s="40"/>
      <c r="E93" s="11"/>
      <c r="F93" s="12"/>
    </row>
    <row r="94" spans="1:14" x14ac:dyDescent="0.3">
      <c r="A94" s="9"/>
      <c r="B94" s="9"/>
      <c r="C94" s="9">
        <f t="shared" si="4"/>
        <v>-13397400</v>
      </c>
      <c r="D94" s="40"/>
      <c r="E94" s="11"/>
      <c r="F94" s="40"/>
    </row>
    <row r="95" spans="1:14" ht="15.6" x14ac:dyDescent="0.3">
      <c r="A95" s="9"/>
      <c r="B95" s="9"/>
      <c r="C95" s="9">
        <f t="shared" si="4"/>
        <v>-13397400</v>
      </c>
      <c r="D95" s="40"/>
      <c r="E95" s="11"/>
      <c r="F95" s="40"/>
      <c r="I95" s="1"/>
      <c r="J95" s="1"/>
      <c r="K95" s="277"/>
      <c r="L95" s="277"/>
      <c r="M95" s="254"/>
      <c r="N95" s="1"/>
    </row>
    <row r="96" spans="1:14" ht="15.6" x14ac:dyDescent="0.3">
      <c r="A96" s="9"/>
      <c r="B96" s="9"/>
      <c r="C96" s="9">
        <f t="shared" si="4"/>
        <v>-13397400</v>
      </c>
      <c r="D96" s="40"/>
      <c r="E96" s="11"/>
      <c r="F96" s="40"/>
      <c r="I96" s="54"/>
      <c r="J96" s="5" t="s">
        <v>37</v>
      </c>
      <c r="K96" s="6" t="s">
        <v>57</v>
      </c>
      <c r="L96" s="245"/>
      <c r="M96" s="257"/>
      <c r="N96" s="6" t="s">
        <v>39</v>
      </c>
    </row>
    <row r="97" spans="1:14" ht="15.6" x14ac:dyDescent="0.3">
      <c r="A97" s="9"/>
      <c r="B97" s="9"/>
      <c r="C97" s="9">
        <f t="shared" si="4"/>
        <v>-13397400</v>
      </c>
      <c r="D97" s="40"/>
      <c r="E97" s="11"/>
      <c r="F97" s="40"/>
      <c r="I97" s="7" t="s">
        <v>40</v>
      </c>
      <c r="J97" s="7" t="s">
        <v>6</v>
      </c>
      <c r="K97" s="41" t="s">
        <v>41</v>
      </c>
      <c r="L97" s="41" t="s">
        <v>42</v>
      </c>
      <c r="M97" s="253" t="s">
        <v>43</v>
      </c>
      <c r="N97" s="7" t="s">
        <v>7</v>
      </c>
    </row>
    <row r="98" spans="1:14" ht="15.6" x14ac:dyDescent="0.3">
      <c r="A98" s="9"/>
      <c r="B98" s="9"/>
      <c r="C98" s="9">
        <f t="shared" si="4"/>
        <v>-13397400</v>
      </c>
      <c r="D98" s="40"/>
      <c r="E98" s="11"/>
      <c r="F98" s="40"/>
      <c r="I98" s="7"/>
      <c r="J98" s="7"/>
      <c r="K98" s="41">
        <v>5000000</v>
      </c>
      <c r="L98" s="41"/>
      <c r="M98" s="253">
        <f>K98-L98</f>
        <v>5000000</v>
      </c>
      <c r="N98" s="7" t="s">
        <v>44</v>
      </c>
    </row>
    <row r="99" spans="1:14" ht="15.6" x14ac:dyDescent="0.3">
      <c r="A99" s="9"/>
      <c r="B99" s="9"/>
      <c r="C99" s="9">
        <f t="shared" si="4"/>
        <v>-13397400</v>
      </c>
      <c r="D99" s="40"/>
      <c r="E99" s="11"/>
      <c r="F99" s="40"/>
      <c r="I99" s="7"/>
      <c r="J99" s="50">
        <v>45413</v>
      </c>
      <c r="K99" s="49"/>
      <c r="L99" s="49">
        <v>875000</v>
      </c>
      <c r="M99" s="258">
        <f>M98-L99</f>
        <v>4125000</v>
      </c>
      <c r="N99" s="51" t="s">
        <v>58</v>
      </c>
    </row>
    <row r="100" spans="1:14" ht="15.6" x14ac:dyDescent="0.3">
      <c r="A100" s="9"/>
      <c r="B100" s="9"/>
      <c r="C100" s="9">
        <f t="shared" si="4"/>
        <v>-13397400</v>
      </c>
      <c r="D100" s="40"/>
      <c r="E100" s="11"/>
      <c r="F100" s="40"/>
      <c r="I100" s="7"/>
      <c r="J100" s="50"/>
      <c r="K100" s="49"/>
      <c r="L100" s="49">
        <v>125000</v>
      </c>
      <c r="M100" s="258">
        <f>M99-L100</f>
        <v>4000000</v>
      </c>
      <c r="N100" s="51" t="s">
        <v>59</v>
      </c>
    </row>
    <row r="101" spans="1:14" ht="15.6" x14ac:dyDescent="0.3">
      <c r="A101" s="9"/>
      <c r="B101" s="9"/>
      <c r="C101" s="9">
        <f t="shared" si="4"/>
        <v>-13397400</v>
      </c>
      <c r="D101" s="40"/>
      <c r="E101" s="11"/>
      <c r="F101" s="40"/>
      <c r="I101" s="7">
        <v>1</v>
      </c>
      <c r="J101" s="8">
        <v>45463</v>
      </c>
      <c r="K101" s="41"/>
      <c r="L101" s="41">
        <v>330000</v>
      </c>
      <c r="M101" s="253">
        <f>M100-L101</f>
        <v>3670000</v>
      </c>
      <c r="N101" s="52">
        <v>45475</v>
      </c>
    </row>
    <row r="102" spans="1:14" ht="15.6" x14ac:dyDescent="0.3">
      <c r="A102" s="9"/>
      <c r="B102" s="9"/>
      <c r="C102" s="9">
        <f t="shared" si="4"/>
        <v>-13397400</v>
      </c>
      <c r="D102" s="40"/>
      <c r="E102" s="11"/>
      <c r="F102" s="40"/>
      <c r="I102" s="7">
        <v>2</v>
      </c>
      <c r="J102" s="8">
        <v>45493</v>
      </c>
      <c r="K102" s="41"/>
      <c r="L102" s="41">
        <v>330000</v>
      </c>
      <c r="M102" s="253">
        <f t="shared" ref="M102:M114" si="6">M101-L102</f>
        <v>3340000</v>
      </c>
      <c r="N102" s="52">
        <v>45502</v>
      </c>
    </row>
    <row r="103" spans="1:14" ht="15.6" x14ac:dyDescent="0.3">
      <c r="A103" s="9"/>
      <c r="B103" s="9"/>
      <c r="C103" s="9">
        <f t="shared" si="4"/>
        <v>-13397400</v>
      </c>
      <c r="D103" s="40"/>
      <c r="E103" s="11"/>
      <c r="F103" s="40"/>
      <c r="I103" s="7">
        <v>3</v>
      </c>
      <c r="J103" s="8">
        <v>45524</v>
      </c>
      <c r="K103" s="41"/>
      <c r="L103" s="41">
        <v>330000</v>
      </c>
      <c r="M103" s="253">
        <f t="shared" si="6"/>
        <v>3010000</v>
      </c>
      <c r="N103" s="52">
        <v>45564</v>
      </c>
    </row>
    <row r="104" spans="1:14" ht="15.6" x14ac:dyDescent="0.3">
      <c r="A104" s="9"/>
      <c r="B104" s="9"/>
      <c r="C104" s="9">
        <f t="shared" si="4"/>
        <v>-13397400</v>
      </c>
      <c r="D104" s="40"/>
      <c r="E104" s="11"/>
      <c r="F104" s="40"/>
      <c r="I104" s="7">
        <v>4</v>
      </c>
      <c r="J104" s="8">
        <v>45555</v>
      </c>
      <c r="K104" s="41"/>
      <c r="L104" s="41">
        <v>330000</v>
      </c>
      <c r="M104" s="253">
        <f t="shared" si="6"/>
        <v>2680000</v>
      </c>
      <c r="N104" s="7" t="s">
        <v>45</v>
      </c>
    </row>
    <row r="105" spans="1:14" ht="15.6" x14ac:dyDescent="0.3">
      <c r="A105" s="9"/>
      <c r="B105" s="9"/>
      <c r="C105" s="9">
        <f t="shared" si="4"/>
        <v>-13397400</v>
      </c>
      <c r="D105" s="40"/>
      <c r="E105" s="11"/>
      <c r="F105" s="40"/>
      <c r="I105" s="7">
        <v>5</v>
      </c>
      <c r="J105" s="8">
        <v>45585</v>
      </c>
      <c r="K105" s="41"/>
      <c r="L105" s="41">
        <v>330000</v>
      </c>
      <c r="M105" s="253">
        <f t="shared" si="6"/>
        <v>2350000</v>
      </c>
      <c r="N105" s="7" t="s">
        <v>45</v>
      </c>
    </row>
    <row r="106" spans="1:14" ht="15.6" x14ac:dyDescent="0.3">
      <c r="A106" s="9"/>
      <c r="B106" s="9"/>
      <c r="C106" s="9">
        <f t="shared" si="4"/>
        <v>-13397400</v>
      </c>
      <c r="D106" s="40"/>
      <c r="E106" s="11"/>
      <c r="F106" s="40"/>
      <c r="I106" s="7">
        <v>6</v>
      </c>
      <c r="J106" s="8">
        <v>45616</v>
      </c>
      <c r="K106" s="41"/>
      <c r="L106" s="41">
        <v>330000</v>
      </c>
      <c r="M106" s="253">
        <f t="shared" si="6"/>
        <v>2020000</v>
      </c>
      <c r="N106" s="7" t="s">
        <v>45</v>
      </c>
    </row>
    <row r="107" spans="1:14" ht="15.6" x14ac:dyDescent="0.3">
      <c r="A107" s="9"/>
      <c r="B107" s="9"/>
      <c r="C107" s="9">
        <f t="shared" si="4"/>
        <v>-13397400</v>
      </c>
      <c r="D107" s="40"/>
      <c r="E107" s="11"/>
      <c r="F107" s="40"/>
      <c r="I107" s="7">
        <v>7</v>
      </c>
      <c r="J107" s="8">
        <v>45646</v>
      </c>
      <c r="K107" s="41"/>
      <c r="L107" s="41">
        <v>330000</v>
      </c>
      <c r="M107" s="253">
        <f t="shared" si="6"/>
        <v>1690000</v>
      </c>
      <c r="N107" s="7" t="s">
        <v>45</v>
      </c>
    </row>
    <row r="108" spans="1:14" ht="15.6" x14ac:dyDescent="0.3">
      <c r="A108" s="9"/>
      <c r="B108" s="9"/>
      <c r="C108" s="9">
        <f t="shared" si="4"/>
        <v>-13397400</v>
      </c>
      <c r="D108" s="40"/>
      <c r="E108" s="11"/>
      <c r="F108" s="40"/>
      <c r="I108" s="7">
        <v>8</v>
      </c>
      <c r="J108" s="8">
        <v>45677</v>
      </c>
      <c r="K108" s="41"/>
      <c r="L108" s="41">
        <v>330000</v>
      </c>
      <c r="M108" s="253">
        <f t="shared" si="6"/>
        <v>1360000</v>
      </c>
      <c r="N108" s="7" t="s">
        <v>45</v>
      </c>
    </row>
    <row r="109" spans="1:14" ht="15.6" x14ac:dyDescent="0.3">
      <c r="A109" s="9"/>
      <c r="B109" s="9"/>
      <c r="C109" s="9">
        <f t="shared" si="4"/>
        <v>-13397400</v>
      </c>
      <c r="D109" s="40"/>
      <c r="E109" s="11"/>
      <c r="F109" s="40"/>
      <c r="I109" s="7">
        <v>9</v>
      </c>
      <c r="J109" s="8">
        <v>45708</v>
      </c>
      <c r="K109" s="41"/>
      <c r="L109" s="41">
        <v>330000</v>
      </c>
      <c r="M109" s="253">
        <f t="shared" si="6"/>
        <v>1030000</v>
      </c>
      <c r="N109" s="7" t="s">
        <v>45</v>
      </c>
    </row>
    <row r="110" spans="1:14" ht="15.6" x14ac:dyDescent="0.3">
      <c r="A110" s="9"/>
      <c r="B110" s="9"/>
      <c r="C110" s="9">
        <f t="shared" si="4"/>
        <v>-13397400</v>
      </c>
      <c r="D110" s="40"/>
      <c r="E110" s="11"/>
      <c r="F110" s="40"/>
      <c r="I110" s="7">
        <v>10</v>
      </c>
      <c r="J110" s="8">
        <v>45736</v>
      </c>
      <c r="K110" s="41"/>
      <c r="L110" s="41">
        <v>330000</v>
      </c>
      <c r="M110" s="253">
        <f t="shared" si="6"/>
        <v>700000</v>
      </c>
      <c r="N110" s="7" t="s">
        <v>45</v>
      </c>
    </row>
    <row r="111" spans="1:14" ht="15.6" x14ac:dyDescent="0.3">
      <c r="A111" s="9"/>
      <c r="B111" s="9"/>
      <c r="C111" s="9">
        <f t="shared" si="4"/>
        <v>-13397400</v>
      </c>
      <c r="D111" s="40"/>
      <c r="E111" s="11"/>
      <c r="F111" s="40"/>
      <c r="I111" s="7">
        <v>11</v>
      </c>
      <c r="J111" s="8">
        <v>45767</v>
      </c>
      <c r="K111" s="41"/>
      <c r="L111" s="41">
        <v>330000</v>
      </c>
      <c r="M111" s="253">
        <f t="shared" si="6"/>
        <v>370000</v>
      </c>
      <c r="N111" s="7" t="s">
        <v>45</v>
      </c>
    </row>
    <row r="112" spans="1:14" ht="15.6" x14ac:dyDescent="0.3">
      <c r="A112" s="9"/>
      <c r="B112" s="9"/>
      <c r="C112" s="9">
        <f t="shared" si="4"/>
        <v>-13397400</v>
      </c>
      <c r="D112" s="40"/>
      <c r="E112" s="11"/>
      <c r="F112" s="40"/>
      <c r="I112" s="7">
        <v>12</v>
      </c>
      <c r="J112" s="8">
        <v>45797</v>
      </c>
      <c r="K112" s="41"/>
      <c r="L112" s="41">
        <v>330000</v>
      </c>
      <c r="M112" s="253">
        <f t="shared" si="6"/>
        <v>40000</v>
      </c>
      <c r="N112" s="7" t="s">
        <v>45</v>
      </c>
    </row>
    <row r="113" spans="1:14" ht="15.6" x14ac:dyDescent="0.3">
      <c r="A113" s="9"/>
      <c r="B113" s="9"/>
      <c r="C113" s="9">
        <f t="shared" si="4"/>
        <v>-13397400</v>
      </c>
      <c r="D113" s="40"/>
      <c r="E113" s="11"/>
      <c r="F113" s="40"/>
      <c r="I113" s="7">
        <v>13</v>
      </c>
      <c r="J113" s="8">
        <v>45828</v>
      </c>
      <c r="K113" s="41"/>
      <c r="L113" s="41">
        <v>39600</v>
      </c>
      <c r="M113" s="253">
        <f t="shared" si="6"/>
        <v>400</v>
      </c>
      <c r="N113" s="7" t="s">
        <v>45</v>
      </c>
    </row>
    <row r="114" spans="1:14" ht="15.6" x14ac:dyDescent="0.3">
      <c r="A114" s="9"/>
      <c r="B114" s="9"/>
      <c r="C114" s="9">
        <f t="shared" si="4"/>
        <v>-13397400</v>
      </c>
      <c r="D114" s="40"/>
      <c r="E114" s="11"/>
      <c r="F114" s="40"/>
      <c r="I114" s="7"/>
      <c r="J114" s="46"/>
      <c r="K114" s="47"/>
      <c r="L114" s="47">
        <v>400</v>
      </c>
      <c r="M114" s="255">
        <f t="shared" si="6"/>
        <v>0</v>
      </c>
      <c r="N114" s="48" t="s">
        <v>515</v>
      </c>
    </row>
    <row r="115" spans="1:14" x14ac:dyDescent="0.3">
      <c r="A115" s="9"/>
      <c r="B115" s="9"/>
      <c r="C115" s="9">
        <f t="shared" si="4"/>
        <v>-13397400</v>
      </c>
      <c r="D115" s="40"/>
      <c r="E115" s="11"/>
      <c r="F115" s="40"/>
    </row>
    <row r="116" spans="1:14" x14ac:dyDescent="0.3">
      <c r="A116" s="9"/>
      <c r="B116" s="9"/>
      <c r="C116" s="9">
        <f t="shared" si="4"/>
        <v>-13397400</v>
      </c>
      <c r="D116" s="40"/>
      <c r="E116" s="11"/>
      <c r="F116" s="40"/>
    </row>
    <row r="117" spans="1:14" ht="15.6" x14ac:dyDescent="0.3">
      <c r="A117" s="9"/>
      <c r="B117" s="9"/>
      <c r="C117" s="9">
        <f t="shared" si="4"/>
        <v>-13397400</v>
      </c>
      <c r="D117" s="40"/>
      <c r="E117" s="11"/>
      <c r="F117" s="40"/>
      <c r="I117" s="1"/>
      <c r="J117" s="1"/>
      <c r="K117" s="277"/>
      <c r="L117" s="277"/>
      <c r="M117" s="254"/>
      <c r="N117" s="1"/>
    </row>
    <row r="118" spans="1:14" ht="15.6" x14ac:dyDescent="0.3">
      <c r="A118" s="9"/>
      <c r="B118" s="9"/>
      <c r="C118" s="9">
        <f t="shared" si="4"/>
        <v>-13397400</v>
      </c>
      <c r="D118" s="40"/>
      <c r="E118" s="11"/>
      <c r="F118" s="40"/>
      <c r="I118" s="6"/>
      <c r="J118" s="5" t="s">
        <v>37</v>
      </c>
      <c r="K118" s="6" t="s">
        <v>60</v>
      </c>
      <c r="L118" s="272" t="s">
        <v>39</v>
      </c>
      <c r="M118" s="272"/>
      <c r="N118" s="6" t="s">
        <v>50</v>
      </c>
    </row>
    <row r="119" spans="1:14" ht="15.6" x14ac:dyDescent="0.3">
      <c r="A119" s="9"/>
      <c r="B119" s="9"/>
      <c r="C119" s="9">
        <f t="shared" si="4"/>
        <v>-13397400</v>
      </c>
      <c r="D119" s="40"/>
      <c r="E119" s="11"/>
      <c r="F119" s="40"/>
      <c r="I119" s="7" t="s">
        <v>40</v>
      </c>
      <c r="J119" s="7" t="s">
        <v>6</v>
      </c>
      <c r="K119" s="41" t="s">
        <v>41</v>
      </c>
      <c r="L119" s="41" t="s">
        <v>42</v>
      </c>
      <c r="M119" s="253" t="s">
        <v>43</v>
      </c>
      <c r="N119" s="7" t="s">
        <v>7</v>
      </c>
    </row>
    <row r="120" spans="1:14" ht="15.6" x14ac:dyDescent="0.3">
      <c r="A120" s="9"/>
      <c r="B120" s="9"/>
      <c r="C120" s="9">
        <f t="shared" si="4"/>
        <v>-13397400</v>
      </c>
      <c r="D120" s="40"/>
      <c r="E120" s="11"/>
      <c r="F120" s="40"/>
      <c r="I120" s="7"/>
      <c r="J120" s="7"/>
      <c r="K120" s="41">
        <f>4300000+1000000</f>
        <v>5300000</v>
      </c>
      <c r="L120" s="41"/>
      <c r="M120" s="253">
        <f>K120-L120</f>
        <v>5300000</v>
      </c>
      <c r="N120" s="7" t="s">
        <v>44</v>
      </c>
    </row>
    <row r="121" spans="1:14" ht="15.6" x14ac:dyDescent="0.3">
      <c r="A121" s="9"/>
      <c r="B121" s="9"/>
      <c r="C121" s="9">
        <f t="shared" si="4"/>
        <v>-13397400</v>
      </c>
      <c r="D121" s="40"/>
      <c r="E121" s="11"/>
      <c r="F121" s="40"/>
      <c r="I121" s="7"/>
      <c r="J121" s="50"/>
      <c r="K121" s="49"/>
      <c r="L121" s="49">
        <v>1000000</v>
      </c>
      <c r="M121" s="258">
        <f>M120-L121</f>
        <v>4300000</v>
      </c>
      <c r="N121" s="51" t="s">
        <v>61</v>
      </c>
    </row>
    <row r="122" spans="1:14" ht="15.6" x14ac:dyDescent="0.3">
      <c r="A122" s="9"/>
      <c r="B122" s="9"/>
      <c r="C122" s="9">
        <f t="shared" si="4"/>
        <v>-13397400</v>
      </c>
      <c r="D122" s="40"/>
      <c r="E122" s="11"/>
      <c r="F122" s="40"/>
      <c r="I122" s="7">
        <v>1</v>
      </c>
      <c r="J122" s="8">
        <v>45534</v>
      </c>
      <c r="K122" s="41"/>
      <c r="L122" s="41">
        <v>350000</v>
      </c>
      <c r="M122" s="253">
        <f>M121-L122</f>
        <v>3950000</v>
      </c>
      <c r="N122" s="52">
        <v>45564</v>
      </c>
    </row>
    <row r="123" spans="1:14" ht="15.6" x14ac:dyDescent="0.3">
      <c r="A123" s="9"/>
      <c r="B123" s="9"/>
      <c r="C123" s="9">
        <f t="shared" si="4"/>
        <v>-13397400</v>
      </c>
      <c r="D123" s="40"/>
      <c r="E123" s="11"/>
      <c r="F123" s="40"/>
      <c r="I123" s="7">
        <v>2</v>
      </c>
      <c r="J123" s="8">
        <v>45565</v>
      </c>
      <c r="K123" s="41"/>
      <c r="L123" s="41">
        <v>350000</v>
      </c>
      <c r="M123" s="253">
        <f>M122-L123</f>
        <v>3600000</v>
      </c>
      <c r="N123" s="52" t="s">
        <v>45</v>
      </c>
    </row>
    <row r="124" spans="1:14" ht="15.6" x14ac:dyDescent="0.3">
      <c r="A124" s="9"/>
      <c r="B124" s="9"/>
      <c r="C124" s="9">
        <f t="shared" si="4"/>
        <v>-13397400</v>
      </c>
      <c r="D124" s="40"/>
      <c r="E124" s="11"/>
      <c r="F124" s="40"/>
      <c r="I124" s="7">
        <v>3</v>
      </c>
      <c r="J124" s="8">
        <v>45595</v>
      </c>
      <c r="K124" s="41"/>
      <c r="L124" s="41">
        <v>350000</v>
      </c>
      <c r="M124" s="253">
        <f t="shared" ref="M124:M136" si="7">M123-L124</f>
        <v>3250000</v>
      </c>
      <c r="N124" s="52" t="s">
        <v>45</v>
      </c>
    </row>
    <row r="125" spans="1:14" ht="15.6" x14ac:dyDescent="0.3">
      <c r="A125" s="9"/>
      <c r="B125" s="9"/>
      <c r="C125" s="9">
        <f t="shared" si="4"/>
        <v>-13397400</v>
      </c>
      <c r="D125" s="40"/>
      <c r="E125" s="11"/>
      <c r="F125" s="40"/>
      <c r="I125" s="7">
        <v>4</v>
      </c>
      <c r="J125" s="8">
        <v>45626</v>
      </c>
      <c r="K125" s="41"/>
      <c r="L125" s="41">
        <v>350000</v>
      </c>
      <c r="M125" s="253">
        <f t="shared" si="7"/>
        <v>2900000</v>
      </c>
      <c r="N125" s="52" t="s">
        <v>45</v>
      </c>
    </row>
    <row r="126" spans="1:14" ht="15.6" x14ac:dyDescent="0.3">
      <c r="A126" s="9"/>
      <c r="B126" s="9"/>
      <c r="C126" s="9">
        <f t="shared" si="4"/>
        <v>-13397400</v>
      </c>
      <c r="D126" s="40"/>
      <c r="E126" s="11"/>
      <c r="F126" s="40"/>
      <c r="I126" s="7">
        <v>5</v>
      </c>
      <c r="J126" s="8">
        <v>45656</v>
      </c>
      <c r="K126" s="41"/>
      <c r="L126" s="41">
        <v>350000</v>
      </c>
      <c r="M126" s="253">
        <f t="shared" si="7"/>
        <v>2550000</v>
      </c>
      <c r="N126" s="52" t="s">
        <v>45</v>
      </c>
    </row>
    <row r="127" spans="1:14" ht="15.6" x14ac:dyDescent="0.3">
      <c r="A127" s="9"/>
      <c r="B127" s="9"/>
      <c r="C127" s="9">
        <f t="shared" si="4"/>
        <v>-13397400</v>
      </c>
      <c r="D127" s="40"/>
      <c r="E127" s="11"/>
      <c r="F127" s="40"/>
      <c r="I127" s="7">
        <v>6</v>
      </c>
      <c r="J127" s="8">
        <v>45687</v>
      </c>
      <c r="K127" s="41"/>
      <c r="L127" s="41">
        <v>350000</v>
      </c>
      <c r="M127" s="253">
        <f t="shared" si="7"/>
        <v>2200000</v>
      </c>
      <c r="N127" s="52" t="s">
        <v>45</v>
      </c>
    </row>
    <row r="128" spans="1:14" ht="15.6" x14ac:dyDescent="0.3">
      <c r="A128" s="9"/>
      <c r="B128" s="9"/>
      <c r="C128" s="9">
        <f t="shared" si="4"/>
        <v>-13397400</v>
      </c>
      <c r="D128" s="40"/>
      <c r="E128" s="11"/>
      <c r="F128" s="40"/>
      <c r="I128" s="7">
        <v>7</v>
      </c>
      <c r="J128" s="8">
        <v>45716</v>
      </c>
      <c r="K128" s="41"/>
      <c r="L128" s="41">
        <v>350000</v>
      </c>
      <c r="M128" s="253">
        <f t="shared" si="7"/>
        <v>1850000</v>
      </c>
      <c r="N128" s="52" t="s">
        <v>45</v>
      </c>
    </row>
    <row r="129" spans="1:14" ht="15.6" x14ac:dyDescent="0.3">
      <c r="A129" s="9"/>
      <c r="B129" s="9"/>
      <c r="C129" s="9">
        <f t="shared" si="4"/>
        <v>-13397400</v>
      </c>
      <c r="D129" s="40"/>
      <c r="E129" s="11"/>
      <c r="F129" s="40"/>
      <c r="I129" s="7">
        <v>8</v>
      </c>
      <c r="J129" s="8">
        <v>45746</v>
      </c>
      <c r="K129" s="41"/>
      <c r="L129" s="41">
        <v>350000</v>
      </c>
      <c r="M129" s="253">
        <f t="shared" si="7"/>
        <v>1500000</v>
      </c>
      <c r="N129" s="52" t="s">
        <v>45</v>
      </c>
    </row>
    <row r="130" spans="1:14" ht="15.6" x14ac:dyDescent="0.3">
      <c r="A130" s="9"/>
      <c r="B130" s="9"/>
      <c r="C130" s="9">
        <f t="shared" si="4"/>
        <v>-13397400</v>
      </c>
      <c r="D130" s="40"/>
      <c r="E130" s="11"/>
      <c r="F130" s="40"/>
      <c r="I130" s="7">
        <v>9</v>
      </c>
      <c r="J130" s="8">
        <v>45777</v>
      </c>
      <c r="K130" s="41"/>
      <c r="L130" s="41">
        <v>350000</v>
      </c>
      <c r="M130" s="253">
        <f t="shared" si="7"/>
        <v>1150000</v>
      </c>
      <c r="N130" s="52" t="s">
        <v>45</v>
      </c>
    </row>
    <row r="131" spans="1:14" ht="15.6" x14ac:dyDescent="0.3">
      <c r="A131" s="9"/>
      <c r="B131" s="9"/>
      <c r="C131" s="9">
        <f t="shared" si="4"/>
        <v>-13397400</v>
      </c>
      <c r="D131" s="40"/>
      <c r="E131" s="11"/>
      <c r="F131" s="40"/>
      <c r="I131" s="7">
        <v>10</v>
      </c>
      <c r="J131" s="8">
        <v>45807</v>
      </c>
      <c r="K131" s="41"/>
      <c r="L131" s="41">
        <v>350000</v>
      </c>
      <c r="M131" s="253">
        <f t="shared" si="7"/>
        <v>800000</v>
      </c>
      <c r="N131" s="52" t="s">
        <v>45</v>
      </c>
    </row>
    <row r="132" spans="1:14" ht="15.6" x14ac:dyDescent="0.3">
      <c r="A132" s="9"/>
      <c r="B132" s="9"/>
      <c r="C132" s="9">
        <f t="shared" si="4"/>
        <v>-13397400</v>
      </c>
      <c r="D132" s="40"/>
      <c r="E132" s="11"/>
      <c r="F132" s="40"/>
      <c r="I132" s="7">
        <v>11</v>
      </c>
      <c r="J132" s="8">
        <v>45838</v>
      </c>
      <c r="K132" s="41"/>
      <c r="L132" s="41">
        <v>350000</v>
      </c>
      <c r="M132" s="253">
        <f t="shared" si="7"/>
        <v>450000</v>
      </c>
      <c r="N132" s="52" t="s">
        <v>45</v>
      </c>
    </row>
    <row r="133" spans="1:14" ht="15.6" x14ac:dyDescent="0.3">
      <c r="A133" s="9"/>
      <c r="B133" s="9"/>
      <c r="C133" s="9">
        <f t="shared" si="4"/>
        <v>-13397400</v>
      </c>
      <c r="D133" s="40"/>
      <c r="E133" s="11"/>
      <c r="F133" s="40"/>
      <c r="I133" s="7">
        <v>12</v>
      </c>
      <c r="J133" s="8">
        <v>45868</v>
      </c>
      <c r="K133" s="41"/>
      <c r="L133" s="41">
        <v>350000</v>
      </c>
      <c r="M133" s="253">
        <f t="shared" si="7"/>
        <v>100000</v>
      </c>
      <c r="N133" s="52" t="s">
        <v>45</v>
      </c>
    </row>
    <row r="134" spans="1:14" ht="15.6" x14ac:dyDescent="0.3">
      <c r="A134" s="9"/>
      <c r="B134" s="9"/>
      <c r="C134" s="9">
        <f t="shared" si="4"/>
        <v>-13397400</v>
      </c>
      <c r="D134" s="40"/>
      <c r="E134" s="11"/>
      <c r="F134" s="40"/>
      <c r="I134" s="7">
        <v>13</v>
      </c>
      <c r="J134" s="8">
        <v>45899</v>
      </c>
      <c r="K134" s="41"/>
      <c r="L134" s="41">
        <v>100000</v>
      </c>
      <c r="M134" s="253">
        <f t="shared" si="7"/>
        <v>0</v>
      </c>
      <c r="N134" s="52" t="s">
        <v>45</v>
      </c>
    </row>
    <row r="135" spans="1:14" ht="15.6" x14ac:dyDescent="0.3">
      <c r="A135" s="9"/>
      <c r="B135" s="9"/>
      <c r="C135" s="9">
        <f t="shared" ref="C135:C157" si="8">IF(A135&gt;0,C134+A135-B135,C134-B135)</f>
        <v>-13397400</v>
      </c>
      <c r="D135" s="40"/>
      <c r="E135" s="11"/>
      <c r="F135" s="40"/>
      <c r="I135" s="7"/>
      <c r="J135" s="46"/>
      <c r="K135" s="47"/>
      <c r="L135" s="47"/>
      <c r="M135" s="255">
        <f t="shared" si="7"/>
        <v>0</v>
      </c>
      <c r="N135" s="48" t="s">
        <v>51</v>
      </c>
    </row>
    <row r="136" spans="1:14" ht="15.6" x14ac:dyDescent="0.3">
      <c r="A136" s="9"/>
      <c r="B136" s="9"/>
      <c r="C136" s="9">
        <f t="shared" si="8"/>
        <v>-13397400</v>
      </c>
      <c r="D136" s="40"/>
      <c r="E136" s="11"/>
      <c r="F136" s="40"/>
      <c r="I136" s="7"/>
      <c r="J136" s="8"/>
      <c r="K136" s="41"/>
      <c r="L136" s="41"/>
      <c r="M136" s="253">
        <f t="shared" si="7"/>
        <v>0</v>
      </c>
      <c r="N136" s="7"/>
    </row>
    <row r="137" spans="1:14" x14ac:dyDescent="0.3">
      <c r="A137" s="9"/>
      <c r="B137" s="9"/>
      <c r="C137" s="9">
        <f t="shared" si="8"/>
        <v>-13397400</v>
      </c>
      <c r="D137" s="40"/>
      <c r="E137" s="11"/>
      <c r="F137" s="40"/>
    </row>
    <row r="138" spans="1:14" x14ac:dyDescent="0.3">
      <c r="A138" s="9"/>
      <c r="B138" s="9"/>
      <c r="C138" s="9">
        <f t="shared" si="8"/>
        <v>-13397400</v>
      </c>
      <c r="D138" s="40"/>
      <c r="E138" s="11"/>
      <c r="F138" s="40"/>
    </row>
    <row r="139" spans="1:14" ht="15.6" x14ac:dyDescent="0.3">
      <c r="A139" s="9"/>
      <c r="B139" s="9"/>
      <c r="C139" s="9">
        <f t="shared" si="8"/>
        <v>-13397400</v>
      </c>
      <c r="D139" s="40"/>
      <c r="E139" s="11"/>
      <c r="F139" s="40"/>
      <c r="I139" s="1"/>
      <c r="J139" s="1"/>
      <c r="K139" s="277"/>
      <c r="L139" s="277"/>
      <c r="M139" s="254"/>
      <c r="N139" s="1"/>
    </row>
    <row r="140" spans="1:14" ht="15.6" x14ac:dyDescent="0.3">
      <c r="A140" s="9"/>
      <c r="B140" s="9"/>
      <c r="C140" s="9">
        <f t="shared" si="8"/>
        <v>-13397400</v>
      </c>
      <c r="D140" s="40"/>
      <c r="E140" s="11"/>
      <c r="F140" s="40"/>
      <c r="I140" s="6"/>
      <c r="J140" s="5" t="s">
        <v>37</v>
      </c>
      <c r="K140" s="6" t="s">
        <v>526</v>
      </c>
      <c r="L140" s="272" t="s">
        <v>63</v>
      </c>
      <c r="M140" s="272"/>
      <c r="N140" s="6" t="s">
        <v>64</v>
      </c>
    </row>
    <row r="141" spans="1:14" ht="15.6" x14ac:dyDescent="0.3">
      <c r="A141" s="9"/>
      <c r="B141" s="9"/>
      <c r="C141" s="9">
        <f t="shared" si="8"/>
        <v>-13397400</v>
      </c>
      <c r="D141" s="40"/>
      <c r="E141" s="11"/>
      <c r="F141" s="40"/>
      <c r="I141" s="7" t="s">
        <v>40</v>
      </c>
      <c r="J141" s="7" t="s">
        <v>6</v>
      </c>
      <c r="K141" s="41" t="s">
        <v>41</v>
      </c>
      <c r="L141" s="41" t="s">
        <v>42</v>
      </c>
      <c r="M141" s="253" t="s">
        <v>442</v>
      </c>
      <c r="N141" s="7" t="s">
        <v>7</v>
      </c>
    </row>
    <row r="142" spans="1:14" ht="15.6" x14ac:dyDescent="0.3">
      <c r="A142" s="9"/>
      <c r="B142" s="9"/>
      <c r="C142" s="9">
        <f t="shared" si="8"/>
        <v>-13397400</v>
      </c>
      <c r="D142" s="40"/>
      <c r="E142" s="11"/>
      <c r="F142" s="40"/>
      <c r="I142" s="7"/>
      <c r="J142" s="7"/>
      <c r="K142" s="41">
        <v>5250000</v>
      </c>
      <c r="L142" s="41"/>
      <c r="M142" s="253">
        <f>K142</f>
        <v>5250000</v>
      </c>
      <c r="N142" s="7"/>
    </row>
    <row r="143" spans="1:14" ht="15.6" x14ac:dyDescent="0.3">
      <c r="A143" s="9"/>
      <c r="B143" s="9"/>
      <c r="C143" s="9">
        <f t="shared" si="8"/>
        <v>-13397400</v>
      </c>
      <c r="D143" s="40"/>
      <c r="E143" s="11"/>
      <c r="F143" s="40"/>
      <c r="I143" s="7"/>
      <c r="J143" s="7"/>
      <c r="K143" s="41"/>
      <c r="L143" s="41"/>
      <c r="M143" s="253">
        <f>K143+K142</f>
        <v>5250000</v>
      </c>
      <c r="N143" s="7"/>
    </row>
    <row r="144" spans="1:14" ht="15.6" x14ac:dyDescent="0.3">
      <c r="A144" s="9"/>
      <c r="B144" s="9"/>
      <c r="C144" s="9">
        <f t="shared" si="8"/>
        <v>-13397400</v>
      </c>
      <c r="D144" s="40"/>
      <c r="E144" s="11"/>
      <c r="F144" s="40"/>
      <c r="I144" s="7"/>
      <c r="J144" s="8"/>
      <c r="K144" s="41"/>
      <c r="L144" s="41"/>
      <c r="M144" s="253">
        <f>M143-L144</f>
        <v>5250000</v>
      </c>
      <c r="N144" s="7"/>
    </row>
    <row r="145" spans="1:14" ht="15.6" x14ac:dyDescent="0.3">
      <c r="A145" s="9"/>
      <c r="B145" s="9"/>
      <c r="C145" s="9">
        <f t="shared" si="8"/>
        <v>-13397400</v>
      </c>
      <c r="D145" s="40"/>
      <c r="E145" s="11"/>
      <c r="F145" s="40"/>
      <c r="I145" s="7">
        <v>1</v>
      </c>
      <c r="J145" s="8" t="s">
        <v>65</v>
      </c>
      <c r="K145" s="41"/>
      <c r="L145" s="41">
        <v>2250000</v>
      </c>
      <c r="M145" s="253">
        <f>M144-L145</f>
        <v>3000000</v>
      </c>
      <c r="N145" s="7" t="s">
        <v>66</v>
      </c>
    </row>
    <row r="146" spans="1:14" ht="15.6" x14ac:dyDescent="0.3">
      <c r="A146" s="9"/>
      <c r="B146" s="9"/>
      <c r="C146" s="9">
        <f t="shared" si="8"/>
        <v>-13397400</v>
      </c>
      <c r="D146" s="40"/>
      <c r="E146" s="11"/>
      <c r="F146" s="40"/>
      <c r="I146" s="7">
        <v>2</v>
      </c>
      <c r="J146" s="8" t="s">
        <v>9</v>
      </c>
      <c r="K146" s="41"/>
      <c r="L146" s="41"/>
      <c r="M146" s="253">
        <f>M145-L146</f>
        <v>3000000</v>
      </c>
      <c r="N146" s="55">
        <v>1000000</v>
      </c>
    </row>
    <row r="147" spans="1:14" ht="15.6" x14ac:dyDescent="0.3">
      <c r="A147" s="9"/>
      <c r="B147" s="9"/>
      <c r="C147" s="9">
        <f t="shared" si="8"/>
        <v>-13397400</v>
      </c>
      <c r="D147" s="40"/>
      <c r="E147" s="11"/>
      <c r="F147" s="40"/>
      <c r="I147" s="7">
        <v>3</v>
      </c>
      <c r="J147" s="8" t="s">
        <v>19</v>
      </c>
      <c r="K147" s="41"/>
      <c r="L147" s="41"/>
      <c r="M147" s="253">
        <f t="shared" ref="M147:M152" si="9">M146-L147</f>
        <v>3000000</v>
      </c>
      <c r="N147" s="7">
        <v>500000</v>
      </c>
    </row>
    <row r="148" spans="1:14" ht="15.6" x14ac:dyDescent="0.3">
      <c r="A148" s="9"/>
      <c r="B148" s="9"/>
      <c r="C148" s="9">
        <f t="shared" si="8"/>
        <v>-13397400</v>
      </c>
      <c r="D148" s="40"/>
      <c r="E148" s="11"/>
      <c r="F148" s="40"/>
      <c r="I148" s="7">
        <v>4</v>
      </c>
      <c r="J148" s="8" t="s">
        <v>67</v>
      </c>
      <c r="K148" s="41"/>
      <c r="L148" s="41"/>
      <c r="M148" s="253">
        <f t="shared" si="9"/>
        <v>3000000</v>
      </c>
      <c r="N148" s="7">
        <v>500000</v>
      </c>
    </row>
    <row r="149" spans="1:14" ht="15.6" x14ac:dyDescent="0.3">
      <c r="A149" s="9"/>
      <c r="B149" s="9"/>
      <c r="C149" s="9">
        <f t="shared" si="8"/>
        <v>-13397400</v>
      </c>
      <c r="D149" s="40"/>
      <c r="E149" s="11"/>
      <c r="F149" s="40"/>
      <c r="I149" s="7">
        <v>5</v>
      </c>
      <c r="J149" s="8" t="s">
        <v>68</v>
      </c>
      <c r="K149" s="41"/>
      <c r="L149" s="41"/>
      <c r="M149" s="253">
        <f t="shared" si="9"/>
        <v>3000000</v>
      </c>
      <c r="N149" s="7">
        <v>500000</v>
      </c>
    </row>
    <row r="150" spans="1:14" ht="15.6" x14ac:dyDescent="0.3">
      <c r="A150" s="9"/>
      <c r="B150" s="9"/>
      <c r="C150" s="9">
        <f t="shared" si="8"/>
        <v>-13397400</v>
      </c>
      <c r="D150" s="40"/>
      <c r="E150" s="11"/>
      <c r="F150" s="40"/>
      <c r="I150" s="7">
        <v>6</v>
      </c>
      <c r="J150" s="8" t="s">
        <v>69</v>
      </c>
      <c r="K150" s="41"/>
      <c r="L150" s="41"/>
      <c r="M150" s="253">
        <f t="shared" si="9"/>
        <v>3000000</v>
      </c>
      <c r="N150" s="7">
        <v>500000</v>
      </c>
    </row>
    <row r="151" spans="1:14" ht="15.6" x14ac:dyDescent="0.3">
      <c r="A151" s="9"/>
      <c r="B151" s="9"/>
      <c r="C151" s="9">
        <f t="shared" si="8"/>
        <v>-13397400</v>
      </c>
      <c r="D151" s="40"/>
      <c r="E151" s="11"/>
      <c r="F151" s="40"/>
      <c r="I151" s="7"/>
      <c r="J151" s="8"/>
      <c r="K151" s="41"/>
      <c r="L151" s="41"/>
      <c r="M151" s="253">
        <f t="shared" si="9"/>
        <v>3000000</v>
      </c>
      <c r="N151" s="7"/>
    </row>
    <row r="152" spans="1:14" ht="15.6" x14ac:dyDescent="0.3">
      <c r="A152" s="9"/>
      <c r="B152" s="9"/>
      <c r="C152" s="9">
        <f t="shared" si="8"/>
        <v>-13397400</v>
      </c>
      <c r="D152" s="40"/>
      <c r="E152" s="11"/>
      <c r="F152" s="40"/>
      <c r="I152" s="7"/>
      <c r="J152" s="8"/>
      <c r="K152" s="41"/>
      <c r="L152" s="41"/>
      <c r="M152" s="253">
        <f t="shared" si="9"/>
        <v>3000000</v>
      </c>
      <c r="N152" s="7"/>
    </row>
    <row r="153" spans="1:14" x14ac:dyDescent="0.3">
      <c r="A153" s="9"/>
      <c r="B153" s="9"/>
      <c r="C153" s="9">
        <f t="shared" si="8"/>
        <v>-13397400</v>
      </c>
      <c r="D153" s="40"/>
      <c r="E153" s="11"/>
      <c r="F153" s="40"/>
    </row>
    <row r="154" spans="1:14" x14ac:dyDescent="0.3">
      <c r="A154" s="9"/>
      <c r="B154" s="9"/>
      <c r="C154" s="9">
        <f t="shared" si="8"/>
        <v>-13397400</v>
      </c>
      <c r="D154" s="40"/>
      <c r="E154" s="11"/>
      <c r="F154" s="40"/>
    </row>
    <row r="155" spans="1:14" ht="15.6" x14ac:dyDescent="0.3">
      <c r="A155" s="9"/>
      <c r="B155" s="9"/>
      <c r="C155" s="9">
        <f t="shared" si="8"/>
        <v>-13397400</v>
      </c>
      <c r="D155" s="7"/>
      <c r="E155" s="8"/>
      <c r="F155" s="7"/>
      <c r="I155" s="1"/>
      <c r="J155" s="1"/>
      <c r="K155" s="277"/>
      <c r="L155" s="277"/>
      <c r="M155" s="254"/>
      <c r="N155" s="1"/>
    </row>
    <row r="156" spans="1:14" ht="15.6" x14ac:dyDescent="0.3">
      <c r="A156" s="9"/>
      <c r="B156" s="9"/>
      <c r="C156" s="9">
        <f t="shared" si="8"/>
        <v>-13397400</v>
      </c>
      <c r="D156" s="7"/>
      <c r="E156" s="8"/>
      <c r="F156" s="7"/>
      <c r="I156" s="6"/>
      <c r="J156" s="5" t="s">
        <v>37</v>
      </c>
      <c r="K156" s="6" t="s">
        <v>70</v>
      </c>
      <c r="L156" s="272" t="s">
        <v>63</v>
      </c>
      <c r="M156" s="272"/>
      <c r="N156" s="6" t="s">
        <v>64</v>
      </c>
    </row>
    <row r="157" spans="1:14" ht="15.6" x14ac:dyDescent="0.3">
      <c r="A157" s="9"/>
      <c r="B157" s="9"/>
      <c r="C157" s="9">
        <f t="shared" si="8"/>
        <v>-13397400</v>
      </c>
      <c r="D157" s="7"/>
      <c r="E157" s="8"/>
      <c r="F157" s="7"/>
      <c r="I157" s="7" t="s">
        <v>40</v>
      </c>
      <c r="J157" s="7" t="s">
        <v>6</v>
      </c>
      <c r="K157" s="41" t="s">
        <v>41</v>
      </c>
      <c r="L157" s="41" t="s">
        <v>42</v>
      </c>
      <c r="M157" s="253" t="s">
        <v>442</v>
      </c>
      <c r="N157" s="7" t="s">
        <v>7</v>
      </c>
    </row>
    <row r="158" spans="1:14" ht="15.6" x14ac:dyDescent="0.3">
      <c r="I158" s="7"/>
      <c r="J158" s="7"/>
      <c r="K158" s="41">
        <v>6440000</v>
      </c>
      <c r="L158" s="41"/>
      <c r="M158" s="253">
        <f>K158</f>
        <v>6440000</v>
      </c>
      <c r="N158" s="7"/>
    </row>
    <row r="159" spans="1:14" ht="15.6" x14ac:dyDescent="0.3">
      <c r="I159" s="7"/>
      <c r="J159" s="7"/>
      <c r="K159" s="41"/>
      <c r="L159" s="41"/>
      <c r="M159" s="253">
        <f>K159+K158</f>
        <v>6440000</v>
      </c>
      <c r="N159" s="7"/>
    </row>
    <row r="160" spans="1:14" ht="15.6" x14ac:dyDescent="0.3">
      <c r="I160" s="7"/>
      <c r="J160" s="50" t="s">
        <v>65</v>
      </c>
      <c r="K160" s="49"/>
      <c r="L160" s="49">
        <v>2000000</v>
      </c>
      <c r="M160" s="258">
        <f>M159-L160</f>
        <v>4440000</v>
      </c>
      <c r="N160" s="51" t="s">
        <v>71</v>
      </c>
    </row>
    <row r="161" spans="9:14" ht="15.6" x14ac:dyDescent="0.3">
      <c r="I161" s="7"/>
      <c r="J161" s="8"/>
      <c r="K161" s="41"/>
      <c r="L161" s="41"/>
      <c r="M161" s="253">
        <f>M160-L161</f>
        <v>4440000</v>
      </c>
      <c r="N161" s="7" t="s">
        <v>72</v>
      </c>
    </row>
    <row r="162" spans="9:14" ht="15.6" x14ac:dyDescent="0.3">
      <c r="I162" s="7">
        <v>1</v>
      </c>
      <c r="J162" s="8" t="s">
        <v>9</v>
      </c>
      <c r="K162" s="41"/>
      <c r="L162" s="41"/>
      <c r="M162" s="253">
        <f>M161-L162</f>
        <v>4440000</v>
      </c>
      <c r="N162" s="52"/>
    </row>
    <row r="163" spans="9:14" ht="15.6" x14ac:dyDescent="0.3">
      <c r="I163" s="7">
        <v>2</v>
      </c>
      <c r="J163" s="8" t="s">
        <v>19</v>
      </c>
      <c r="K163" s="41"/>
      <c r="L163" s="41"/>
      <c r="M163" s="253">
        <f t="shared" ref="M163:M173" si="10">M162-L163</f>
        <v>4440000</v>
      </c>
      <c r="N163" s="7"/>
    </row>
    <row r="164" spans="9:14" ht="15.6" x14ac:dyDescent="0.3">
      <c r="I164" s="7">
        <v>3</v>
      </c>
      <c r="J164" s="8" t="s">
        <v>67</v>
      </c>
      <c r="K164" s="41"/>
      <c r="L164" s="41"/>
      <c r="M164" s="253">
        <f t="shared" si="10"/>
        <v>4440000</v>
      </c>
      <c r="N164" s="52"/>
    </row>
    <row r="165" spans="9:14" ht="15.6" x14ac:dyDescent="0.3">
      <c r="I165" s="7">
        <v>4</v>
      </c>
      <c r="J165" s="8" t="s">
        <v>68</v>
      </c>
      <c r="K165" s="41"/>
      <c r="L165" s="41"/>
      <c r="M165" s="253">
        <f t="shared" si="10"/>
        <v>4440000</v>
      </c>
      <c r="N165" s="7"/>
    </row>
    <row r="166" spans="9:14" ht="15.6" x14ac:dyDescent="0.3">
      <c r="I166" s="7">
        <v>5</v>
      </c>
      <c r="J166" s="8" t="s">
        <v>69</v>
      </c>
      <c r="K166" s="41"/>
      <c r="L166" s="41"/>
      <c r="M166" s="253">
        <f t="shared" si="10"/>
        <v>4440000</v>
      </c>
      <c r="N166" s="7"/>
    </row>
    <row r="167" spans="9:14" ht="15.6" x14ac:dyDescent="0.3">
      <c r="I167" s="7">
        <v>6</v>
      </c>
      <c r="J167" s="8" t="s">
        <v>73</v>
      </c>
      <c r="K167" s="41"/>
      <c r="L167" s="41"/>
      <c r="M167" s="253">
        <f t="shared" si="10"/>
        <v>4440000</v>
      </c>
      <c r="N167" s="7"/>
    </row>
    <row r="168" spans="9:14" ht="15.6" x14ac:dyDescent="0.3">
      <c r="I168" s="7">
        <v>7</v>
      </c>
      <c r="J168" s="8" t="s">
        <v>74</v>
      </c>
      <c r="K168" s="41"/>
      <c r="L168" s="41"/>
      <c r="M168" s="253">
        <f t="shared" si="10"/>
        <v>4440000</v>
      </c>
      <c r="N168" s="7"/>
    </row>
    <row r="169" spans="9:14" ht="15.6" x14ac:dyDescent="0.3">
      <c r="I169" s="7">
        <v>8</v>
      </c>
      <c r="J169" s="8" t="s">
        <v>75</v>
      </c>
      <c r="K169" s="41"/>
      <c r="L169" s="41"/>
      <c r="M169" s="253">
        <f t="shared" si="10"/>
        <v>4440000</v>
      </c>
      <c r="N169" s="7"/>
    </row>
    <row r="170" spans="9:14" ht="15.6" x14ac:dyDescent="0.3">
      <c r="I170" s="7">
        <v>9</v>
      </c>
      <c r="J170" s="8" t="s">
        <v>76</v>
      </c>
      <c r="K170" s="41"/>
      <c r="L170" s="41"/>
      <c r="M170" s="253">
        <f t="shared" si="10"/>
        <v>4440000</v>
      </c>
      <c r="N170" s="7"/>
    </row>
    <row r="171" spans="9:14" ht="15.6" x14ac:dyDescent="0.3">
      <c r="I171" s="7">
        <v>10</v>
      </c>
      <c r="J171" s="8" t="s">
        <v>77</v>
      </c>
      <c r="K171" s="41"/>
      <c r="L171" s="41"/>
      <c r="M171" s="253">
        <f t="shared" si="10"/>
        <v>4440000</v>
      </c>
      <c r="N171" s="7"/>
    </row>
    <row r="172" spans="9:14" ht="15.6" x14ac:dyDescent="0.3">
      <c r="I172" s="7">
        <v>11</v>
      </c>
      <c r="J172" s="8" t="s">
        <v>78</v>
      </c>
      <c r="K172" s="41"/>
      <c r="L172" s="41"/>
      <c r="M172" s="253">
        <f t="shared" si="10"/>
        <v>4440000</v>
      </c>
      <c r="N172" s="7"/>
    </row>
    <row r="173" spans="9:14" ht="15.6" x14ac:dyDescent="0.3">
      <c r="I173" s="7">
        <v>12</v>
      </c>
      <c r="J173" s="8" t="s">
        <v>79</v>
      </c>
      <c r="K173" s="41"/>
      <c r="L173" s="41"/>
      <c r="M173" s="253">
        <f t="shared" si="10"/>
        <v>4440000</v>
      </c>
      <c r="N173" s="7"/>
    </row>
    <row r="176" spans="9:14" ht="15.6" x14ac:dyDescent="0.3">
      <c r="I176" s="1"/>
      <c r="J176" s="1"/>
      <c r="K176" s="277"/>
      <c r="L176" s="277"/>
      <c r="M176" s="254"/>
      <c r="N176" s="1"/>
    </row>
    <row r="177" spans="9:14" ht="15.6" x14ac:dyDescent="0.3">
      <c r="I177" s="6"/>
      <c r="J177" s="5" t="s">
        <v>37</v>
      </c>
      <c r="K177" s="6" t="s">
        <v>80</v>
      </c>
      <c r="L177" s="272" t="s">
        <v>39</v>
      </c>
      <c r="M177" s="272"/>
      <c r="N177" s="6" t="s">
        <v>54</v>
      </c>
    </row>
    <row r="178" spans="9:14" ht="15.6" x14ac:dyDescent="0.3">
      <c r="I178" s="7" t="s">
        <v>40</v>
      </c>
      <c r="J178" s="7" t="s">
        <v>6</v>
      </c>
      <c r="K178" s="41" t="s">
        <v>41</v>
      </c>
      <c r="L178" s="41" t="s">
        <v>42</v>
      </c>
      <c r="M178" s="253" t="s">
        <v>43</v>
      </c>
      <c r="N178" s="7" t="s">
        <v>7</v>
      </c>
    </row>
    <row r="179" spans="9:14" ht="15.6" x14ac:dyDescent="0.3">
      <c r="I179" s="7"/>
      <c r="J179" s="7"/>
      <c r="K179" s="3">
        <v>6500000</v>
      </c>
      <c r="L179" s="3"/>
      <c r="M179" s="253">
        <f>K179-L179</f>
        <v>6500000</v>
      </c>
      <c r="N179" s="7" t="s">
        <v>44</v>
      </c>
    </row>
    <row r="180" spans="9:14" ht="15.6" x14ac:dyDescent="0.3">
      <c r="I180" s="7"/>
      <c r="J180" s="50"/>
      <c r="K180" s="53"/>
      <c r="L180" s="53">
        <v>1500000</v>
      </c>
      <c r="M180" s="258">
        <f>M179-L180</f>
        <v>5000000</v>
      </c>
      <c r="N180" s="51"/>
    </row>
    <row r="181" spans="9:14" ht="15.6" x14ac:dyDescent="0.3">
      <c r="I181" s="7">
        <v>1</v>
      </c>
      <c r="J181" s="8">
        <v>46144</v>
      </c>
      <c r="K181" s="3"/>
      <c r="L181" s="3"/>
      <c r="M181" s="253">
        <f>M180-L181</f>
        <v>5000000</v>
      </c>
      <c r="N181" s="52" t="s">
        <v>81</v>
      </c>
    </row>
    <row r="182" spans="9:14" ht="15.6" x14ac:dyDescent="0.3">
      <c r="I182" s="7">
        <v>2</v>
      </c>
      <c r="J182" s="8">
        <v>46145</v>
      </c>
      <c r="K182" s="3"/>
      <c r="L182" s="3"/>
      <c r="M182" s="253">
        <f>M181-L182</f>
        <v>5000000</v>
      </c>
      <c r="N182" s="52"/>
    </row>
    <row r="183" spans="9:14" ht="15.6" x14ac:dyDescent="0.3">
      <c r="I183" s="7">
        <v>3</v>
      </c>
      <c r="J183" s="8">
        <v>46146</v>
      </c>
      <c r="K183" s="3"/>
      <c r="L183" s="3"/>
      <c r="M183" s="253">
        <f t="shared" ref="M183:M191" si="11">M182-L183</f>
        <v>5000000</v>
      </c>
      <c r="N183" s="52"/>
    </row>
    <row r="184" spans="9:14" ht="15.6" x14ac:dyDescent="0.3">
      <c r="I184" s="7">
        <v>4</v>
      </c>
      <c r="J184" s="8">
        <v>46147</v>
      </c>
      <c r="K184" s="3"/>
      <c r="L184" s="3"/>
      <c r="M184" s="253">
        <f t="shared" si="11"/>
        <v>5000000</v>
      </c>
      <c r="N184" s="52"/>
    </row>
    <row r="185" spans="9:14" ht="15.6" x14ac:dyDescent="0.3">
      <c r="I185" s="7">
        <v>5</v>
      </c>
      <c r="J185" s="8">
        <v>46148</v>
      </c>
      <c r="K185" s="3"/>
      <c r="L185" s="3"/>
      <c r="M185" s="253">
        <f t="shared" si="11"/>
        <v>5000000</v>
      </c>
      <c r="N185" s="52"/>
    </row>
    <row r="186" spans="9:14" ht="15.6" x14ac:dyDescent="0.3">
      <c r="I186" s="7">
        <v>6</v>
      </c>
      <c r="J186" s="8">
        <v>46149</v>
      </c>
      <c r="K186" s="3"/>
      <c r="L186" s="3"/>
      <c r="M186" s="253">
        <f t="shared" si="11"/>
        <v>5000000</v>
      </c>
      <c r="N186" s="52"/>
    </row>
    <row r="187" spans="9:14" ht="15.6" x14ac:dyDescent="0.3">
      <c r="I187" s="7">
        <v>7</v>
      </c>
      <c r="J187" s="8">
        <v>46150</v>
      </c>
      <c r="K187" s="3"/>
      <c r="L187" s="3"/>
      <c r="M187" s="253">
        <f t="shared" si="11"/>
        <v>5000000</v>
      </c>
      <c r="N187" s="52"/>
    </row>
    <row r="188" spans="9:14" ht="15.6" x14ac:dyDescent="0.3">
      <c r="I188" s="7">
        <v>8</v>
      </c>
      <c r="J188" s="8">
        <v>46151</v>
      </c>
      <c r="K188" s="3"/>
      <c r="L188" s="3"/>
      <c r="M188" s="253">
        <f t="shared" si="11"/>
        <v>5000000</v>
      </c>
      <c r="N188" s="52"/>
    </row>
    <row r="189" spans="9:14" ht="15.6" x14ac:dyDescent="0.3">
      <c r="I189" s="7">
        <v>9</v>
      </c>
      <c r="J189" s="8">
        <v>46152</v>
      </c>
      <c r="K189" s="3"/>
      <c r="L189" s="3"/>
      <c r="M189" s="253">
        <f t="shared" si="11"/>
        <v>5000000</v>
      </c>
      <c r="N189" s="52"/>
    </row>
    <row r="190" spans="9:14" ht="15.6" x14ac:dyDescent="0.3">
      <c r="I190" s="7">
        <v>10</v>
      </c>
      <c r="J190" s="8">
        <v>46153</v>
      </c>
      <c r="K190" s="3"/>
      <c r="L190" s="3"/>
      <c r="M190" s="253">
        <f t="shared" si="11"/>
        <v>5000000</v>
      </c>
      <c r="N190" s="52"/>
    </row>
    <row r="191" spans="9:14" ht="15.6" x14ac:dyDescent="0.3">
      <c r="I191" s="7"/>
      <c r="J191" s="8"/>
      <c r="K191" s="3"/>
      <c r="L191" s="3"/>
      <c r="M191" s="253">
        <f t="shared" si="11"/>
        <v>5000000</v>
      </c>
      <c r="N191" s="52"/>
    </row>
    <row r="195" spans="9:14" ht="15.6" x14ac:dyDescent="0.3">
      <c r="I195" s="1"/>
      <c r="J195" s="1"/>
      <c r="K195" s="277"/>
      <c r="L195" s="277"/>
      <c r="M195" s="254"/>
      <c r="N195" s="1"/>
    </row>
    <row r="196" spans="9:14" ht="15.6" x14ac:dyDescent="0.3">
      <c r="I196" s="6"/>
      <c r="J196" s="5" t="s">
        <v>37</v>
      </c>
      <c r="K196" s="6" t="s">
        <v>82</v>
      </c>
      <c r="L196" s="272" t="s">
        <v>39</v>
      </c>
      <c r="M196" s="272"/>
      <c r="N196" s="6" t="s">
        <v>83</v>
      </c>
    </row>
    <row r="197" spans="9:14" ht="15.6" x14ac:dyDescent="0.3">
      <c r="I197" s="7" t="s">
        <v>40</v>
      </c>
      <c r="J197" s="7" t="s">
        <v>6</v>
      </c>
      <c r="K197" s="41" t="s">
        <v>41</v>
      </c>
      <c r="L197" s="41" t="s">
        <v>42</v>
      </c>
      <c r="M197" s="253" t="s">
        <v>43</v>
      </c>
      <c r="N197" s="7" t="s">
        <v>7</v>
      </c>
    </row>
    <row r="198" spans="9:14" ht="15.6" x14ac:dyDescent="0.3">
      <c r="I198" s="7"/>
      <c r="J198" s="7"/>
      <c r="K198" s="3">
        <v>15500000</v>
      </c>
      <c r="L198" s="3"/>
      <c r="M198" s="253">
        <f>K198-L198</f>
        <v>15500000</v>
      </c>
      <c r="N198" s="7" t="s">
        <v>44</v>
      </c>
    </row>
    <row r="199" spans="9:14" ht="15.6" x14ac:dyDescent="0.3">
      <c r="I199" s="7"/>
      <c r="J199" s="50"/>
      <c r="K199" s="53"/>
      <c r="L199" s="53">
        <v>5500000</v>
      </c>
      <c r="M199" s="258">
        <f>M198-L199</f>
        <v>10000000</v>
      </c>
      <c r="N199" s="51"/>
    </row>
    <row r="200" spans="9:14" ht="15.6" x14ac:dyDescent="0.3">
      <c r="I200" s="7">
        <v>1</v>
      </c>
      <c r="J200" s="8">
        <v>46144</v>
      </c>
      <c r="K200" s="3"/>
      <c r="L200" s="3"/>
      <c r="M200" s="253">
        <f>M199-L200</f>
        <v>10000000</v>
      </c>
      <c r="N200" s="52" t="s">
        <v>84</v>
      </c>
    </row>
    <row r="201" spans="9:14" ht="15.6" x14ac:dyDescent="0.3">
      <c r="I201" s="7">
        <v>2</v>
      </c>
      <c r="J201" s="8">
        <v>46145</v>
      </c>
      <c r="K201" s="3"/>
      <c r="L201" s="3"/>
      <c r="M201" s="253">
        <f>M200-L201</f>
        <v>10000000</v>
      </c>
      <c r="N201" s="52"/>
    </row>
    <row r="202" spans="9:14" ht="15.6" x14ac:dyDescent="0.3">
      <c r="I202" s="7">
        <v>3</v>
      </c>
      <c r="J202" s="8">
        <v>46146</v>
      </c>
      <c r="K202" s="3"/>
      <c r="L202" s="3"/>
      <c r="M202" s="253">
        <f t="shared" ref="M202:M210" si="12">M201-L202</f>
        <v>10000000</v>
      </c>
      <c r="N202" s="52"/>
    </row>
    <row r="203" spans="9:14" ht="15.6" x14ac:dyDescent="0.3">
      <c r="I203" s="7">
        <v>4</v>
      </c>
      <c r="J203" s="8">
        <v>46147</v>
      </c>
      <c r="K203" s="3"/>
      <c r="L203" s="3"/>
      <c r="M203" s="253">
        <f t="shared" si="12"/>
        <v>10000000</v>
      </c>
      <c r="N203" s="52"/>
    </row>
    <row r="204" spans="9:14" ht="15.6" x14ac:dyDescent="0.3">
      <c r="I204" s="7">
        <v>5</v>
      </c>
      <c r="J204" s="8">
        <v>46148</v>
      </c>
      <c r="K204" s="3"/>
      <c r="L204" s="3"/>
      <c r="M204" s="253">
        <f t="shared" si="12"/>
        <v>10000000</v>
      </c>
      <c r="N204" s="52"/>
    </row>
    <row r="205" spans="9:14" ht="15.6" x14ac:dyDescent="0.3">
      <c r="I205" s="7">
        <v>6</v>
      </c>
      <c r="J205" s="8">
        <v>46149</v>
      </c>
      <c r="K205" s="3"/>
      <c r="L205" s="3"/>
      <c r="M205" s="253">
        <f t="shared" si="12"/>
        <v>10000000</v>
      </c>
      <c r="N205" s="52"/>
    </row>
    <row r="206" spans="9:14" ht="15.6" x14ac:dyDescent="0.3">
      <c r="I206" s="7">
        <v>7</v>
      </c>
      <c r="J206" s="8">
        <v>46150</v>
      </c>
      <c r="K206" s="3"/>
      <c r="L206" s="3"/>
      <c r="M206" s="253">
        <f t="shared" si="12"/>
        <v>10000000</v>
      </c>
      <c r="N206" s="52"/>
    </row>
    <row r="207" spans="9:14" ht="15.6" x14ac:dyDescent="0.3">
      <c r="I207" s="7">
        <v>8</v>
      </c>
      <c r="J207" s="8">
        <v>46151</v>
      </c>
      <c r="K207" s="3"/>
      <c r="L207" s="3"/>
      <c r="M207" s="253">
        <f t="shared" si="12"/>
        <v>10000000</v>
      </c>
      <c r="N207" s="52"/>
    </row>
    <row r="208" spans="9:14" ht="15.6" x14ac:dyDescent="0.3">
      <c r="I208" s="7">
        <v>9</v>
      </c>
      <c r="J208" s="8">
        <v>46152</v>
      </c>
      <c r="K208" s="3"/>
      <c r="L208" s="3"/>
      <c r="M208" s="253">
        <f t="shared" si="12"/>
        <v>10000000</v>
      </c>
      <c r="N208" s="52"/>
    </row>
    <row r="209" spans="9:14" ht="15.6" x14ac:dyDescent="0.3">
      <c r="I209" s="7">
        <v>10</v>
      </c>
      <c r="J209" s="8">
        <v>46153</v>
      </c>
      <c r="K209" s="3"/>
      <c r="L209" s="3"/>
      <c r="M209" s="253">
        <f t="shared" si="12"/>
        <v>10000000</v>
      </c>
      <c r="N209" s="52"/>
    </row>
    <row r="210" spans="9:14" ht="15.6" x14ac:dyDescent="0.3">
      <c r="I210" s="7"/>
      <c r="J210" s="8"/>
      <c r="K210" s="3"/>
      <c r="L210" s="3"/>
      <c r="M210" s="253">
        <f t="shared" si="12"/>
        <v>10000000</v>
      </c>
      <c r="N210" s="52"/>
    </row>
    <row r="213" spans="9:14" ht="15.6" x14ac:dyDescent="0.3">
      <c r="I213" s="1"/>
      <c r="J213" s="1"/>
      <c r="K213" s="277"/>
      <c r="L213" s="277"/>
      <c r="M213" s="254"/>
      <c r="N213" s="1"/>
    </row>
    <row r="214" spans="9:14" ht="15.6" x14ac:dyDescent="0.3">
      <c r="I214" s="6"/>
      <c r="J214" s="5" t="s">
        <v>37</v>
      </c>
      <c r="K214" s="6" t="s">
        <v>85</v>
      </c>
      <c r="L214" s="272" t="s">
        <v>39</v>
      </c>
      <c r="M214" s="272"/>
      <c r="N214" s="6" t="s">
        <v>54</v>
      </c>
    </row>
    <row r="215" spans="9:14" ht="15.6" x14ac:dyDescent="0.3">
      <c r="I215" s="7" t="s">
        <v>40</v>
      </c>
      <c r="J215" s="7" t="s">
        <v>6</v>
      </c>
      <c r="K215" s="41" t="s">
        <v>41</v>
      </c>
      <c r="L215" s="41" t="s">
        <v>42</v>
      </c>
      <c r="M215" s="253" t="s">
        <v>43</v>
      </c>
      <c r="N215" s="7" t="s">
        <v>7</v>
      </c>
    </row>
    <row r="216" spans="9:14" ht="15.6" x14ac:dyDescent="0.3">
      <c r="I216" s="7"/>
      <c r="J216" s="7"/>
      <c r="K216" s="41">
        <v>13500000</v>
      </c>
      <c r="L216" s="41"/>
      <c r="M216" s="253">
        <f>K216-L216</f>
        <v>13500000</v>
      </c>
      <c r="N216" s="7" t="s">
        <v>44</v>
      </c>
    </row>
    <row r="217" spans="9:14" ht="15.6" x14ac:dyDescent="0.3">
      <c r="I217" s="7"/>
      <c r="J217" s="50"/>
      <c r="K217" s="49"/>
      <c r="L217" s="49">
        <v>5500000</v>
      </c>
      <c r="M217" s="258">
        <f>M216-L217</f>
        <v>8000000</v>
      </c>
      <c r="N217" s="51"/>
    </row>
    <row r="218" spans="9:14" ht="15.6" x14ac:dyDescent="0.3">
      <c r="I218" s="7">
        <v>1</v>
      </c>
      <c r="J218" s="8">
        <v>46298</v>
      </c>
      <c r="K218" s="41"/>
      <c r="L218" s="41"/>
      <c r="M218" s="253">
        <f>M217-L218</f>
        <v>8000000</v>
      </c>
      <c r="N218" s="52" t="s">
        <v>86</v>
      </c>
    </row>
    <row r="219" spans="9:14" ht="15.6" x14ac:dyDescent="0.3">
      <c r="I219" s="7">
        <v>2</v>
      </c>
      <c r="J219" s="8">
        <v>46299</v>
      </c>
      <c r="K219" s="41"/>
      <c r="L219" s="41"/>
      <c r="M219" s="253">
        <f>M218-L219</f>
        <v>8000000</v>
      </c>
      <c r="N219" s="52"/>
    </row>
    <row r="220" spans="9:14" ht="15.6" x14ac:dyDescent="0.3">
      <c r="I220" s="7">
        <v>3</v>
      </c>
      <c r="J220" s="8">
        <v>46300</v>
      </c>
      <c r="K220" s="41"/>
      <c r="L220" s="41"/>
      <c r="M220" s="253">
        <f t="shared" ref="M220:M225" si="13">M219-L220</f>
        <v>8000000</v>
      </c>
      <c r="N220" s="52"/>
    </row>
    <row r="221" spans="9:14" ht="15.6" x14ac:dyDescent="0.3">
      <c r="I221" s="7">
        <v>4</v>
      </c>
      <c r="J221" s="8">
        <v>46301</v>
      </c>
      <c r="K221" s="41"/>
      <c r="L221" s="41"/>
      <c r="M221" s="253">
        <f t="shared" si="13"/>
        <v>8000000</v>
      </c>
      <c r="N221" s="52"/>
    </row>
    <row r="222" spans="9:14" ht="15.6" x14ac:dyDescent="0.3">
      <c r="I222" s="7">
        <v>5</v>
      </c>
      <c r="J222" s="8">
        <v>46302</v>
      </c>
      <c r="K222" s="41"/>
      <c r="L222" s="41"/>
      <c r="M222" s="253">
        <f t="shared" si="13"/>
        <v>8000000</v>
      </c>
      <c r="N222" s="52"/>
    </row>
    <row r="223" spans="9:14" ht="15.6" x14ac:dyDescent="0.3">
      <c r="I223" s="7">
        <v>6</v>
      </c>
      <c r="J223" s="8">
        <v>46303</v>
      </c>
      <c r="K223" s="41"/>
      <c r="L223" s="41"/>
      <c r="M223" s="253">
        <f t="shared" si="13"/>
        <v>8000000</v>
      </c>
      <c r="N223" s="52"/>
    </row>
    <row r="224" spans="9:14" ht="15.6" x14ac:dyDescent="0.3">
      <c r="I224" s="7">
        <v>7</v>
      </c>
      <c r="J224" s="8">
        <v>46304</v>
      </c>
      <c r="K224" s="41"/>
      <c r="L224" s="41"/>
      <c r="M224" s="253">
        <f t="shared" si="13"/>
        <v>8000000</v>
      </c>
      <c r="N224" s="52"/>
    </row>
    <row r="225" spans="9:14" ht="15.6" x14ac:dyDescent="0.3">
      <c r="I225" s="7">
        <v>8</v>
      </c>
      <c r="J225" s="8">
        <v>46305</v>
      </c>
      <c r="K225" s="41"/>
      <c r="L225" s="41"/>
      <c r="M225" s="253">
        <f t="shared" si="13"/>
        <v>8000000</v>
      </c>
      <c r="N225" s="52"/>
    </row>
  </sheetData>
  <mergeCells count="22">
    <mergeCell ref="K195:L195"/>
    <mergeCell ref="L196:M196"/>
    <mergeCell ref="K213:L213"/>
    <mergeCell ref="L214:M214"/>
    <mergeCell ref="K139:L139"/>
    <mergeCell ref="L140:M140"/>
    <mergeCell ref="K155:L155"/>
    <mergeCell ref="L156:M156"/>
    <mergeCell ref="K176:L176"/>
    <mergeCell ref="L177:M177"/>
    <mergeCell ref="L118:M118"/>
    <mergeCell ref="A3:C3"/>
    <mergeCell ref="L3:M3"/>
    <mergeCell ref="K26:L26"/>
    <mergeCell ref="L27:M27"/>
    <mergeCell ref="K49:L49"/>
    <mergeCell ref="L50:M50"/>
    <mergeCell ref="K73:L73"/>
    <mergeCell ref="L74:M74"/>
    <mergeCell ref="K95:L95"/>
    <mergeCell ref="K117:L117"/>
    <mergeCell ref="F41:F4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9"/>
  <sheetViews>
    <sheetView rightToLeft="1" zoomScale="85" zoomScaleNormal="85" workbookViewId="0">
      <pane ySplit="4" topLeftCell="A33" activePane="bottomLeft" state="frozen"/>
      <selection pane="bottomLeft" activeCell="D44" sqref="D44"/>
    </sheetView>
  </sheetViews>
  <sheetFormatPr defaultColWidth="9" defaultRowHeight="14.4" x14ac:dyDescent="0.3"/>
  <cols>
    <col min="1" max="1" width="12.88671875" customWidth="1"/>
    <col min="2" max="2" width="12.6640625" customWidth="1"/>
    <col min="3" max="3" width="12.6640625" bestFit="1" customWidth="1"/>
    <col min="4" max="4" width="38.5546875" customWidth="1"/>
    <col min="5" max="5" width="20.44140625" bestFit="1" customWidth="1"/>
    <col min="6" max="6" width="11.44140625" customWidth="1"/>
    <col min="7" max="7" width="11.109375" bestFit="1" customWidth="1"/>
    <col min="8" max="8" width="14.88671875" bestFit="1" customWidth="1"/>
    <col min="9" max="9" width="15.109375" bestFit="1" customWidth="1"/>
    <col min="10" max="10" width="24.5546875" customWidth="1"/>
    <col min="11" max="11" width="21.6640625" bestFit="1" customWidth="1"/>
    <col min="12" max="12" width="18" bestFit="1" customWidth="1"/>
    <col min="13" max="13" width="30.6640625" customWidth="1"/>
    <col min="14" max="14" width="41" bestFit="1" customWidth="1"/>
    <col min="15" max="15" width="16.6640625" bestFit="1" customWidth="1"/>
  </cols>
  <sheetData>
    <row r="1" spans="1:13" ht="15.6" x14ac:dyDescent="0.3">
      <c r="A1" s="1"/>
      <c r="B1" s="1"/>
      <c r="C1" s="1"/>
      <c r="D1" s="1"/>
      <c r="E1" s="2"/>
      <c r="F1" s="1"/>
    </row>
    <row r="2" spans="1:13" ht="15.6" x14ac:dyDescent="0.3">
      <c r="A2" s="3">
        <f>SUBTOTAL(9,A5:A173)</f>
        <v>27132500</v>
      </c>
      <c r="B2" s="3">
        <f>SUBTOTAL(9,B5:B173)</f>
        <v>40128000</v>
      </c>
      <c r="C2" s="3">
        <f>A2-B2</f>
        <v>-12995500</v>
      </c>
      <c r="D2" s="1"/>
      <c r="E2" s="2"/>
      <c r="F2" s="1"/>
    </row>
    <row r="3" spans="1:13" ht="27" customHeight="1" x14ac:dyDescent="0.3">
      <c r="A3" s="6" t="s">
        <v>87</v>
      </c>
      <c r="B3" s="6"/>
      <c r="C3" s="6"/>
      <c r="D3" s="5" t="s">
        <v>1</v>
      </c>
      <c r="E3" s="6"/>
      <c r="F3" s="6"/>
    </row>
    <row r="4" spans="1:13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3" ht="0.75" customHeight="1" thickBot="1" x14ac:dyDescent="0.35">
      <c r="A5" s="7"/>
      <c r="B5" s="7"/>
      <c r="C5" s="7">
        <v>0</v>
      </c>
      <c r="D5" s="7"/>
      <c r="E5" s="8"/>
      <c r="F5" s="7"/>
    </row>
    <row r="6" spans="1:13" ht="15.6" x14ac:dyDescent="0.3">
      <c r="A6" s="3"/>
      <c r="B6" s="56">
        <v>1560000</v>
      </c>
      <c r="C6" s="3">
        <f>IF(A6&gt;0,C5+A6-B6,C5-B6)</f>
        <v>-1560000</v>
      </c>
      <c r="D6" s="57" t="s">
        <v>88</v>
      </c>
      <c r="E6" s="8">
        <v>45200</v>
      </c>
      <c r="F6" s="58"/>
      <c r="H6" s="187"/>
      <c r="I6" s="188"/>
      <c r="J6" s="188"/>
      <c r="K6" s="283" t="s">
        <v>408</v>
      </c>
      <c r="L6" s="283"/>
      <c r="M6" s="189"/>
    </row>
    <row r="7" spans="1:13" ht="15.6" x14ac:dyDescent="0.3">
      <c r="A7" s="3"/>
      <c r="B7" s="56">
        <v>1800000</v>
      </c>
      <c r="C7" s="3">
        <f t="shared" ref="C7:C72" si="0">IF(A7&gt;0,C6+A7-B7,C6-B7)</f>
        <v>-3360000</v>
      </c>
      <c r="D7" s="57" t="s">
        <v>89</v>
      </c>
      <c r="E7" s="8" t="s">
        <v>90</v>
      </c>
      <c r="F7" s="58"/>
      <c r="H7" s="7" t="s">
        <v>40</v>
      </c>
      <c r="I7" s="7" t="s">
        <v>6</v>
      </c>
      <c r="J7" s="41" t="s">
        <v>41</v>
      </c>
      <c r="K7" s="41" t="s">
        <v>42</v>
      </c>
      <c r="L7" s="7" t="s">
        <v>43</v>
      </c>
      <c r="M7" s="7" t="s">
        <v>7</v>
      </c>
    </row>
    <row r="8" spans="1:13" ht="15.6" x14ac:dyDescent="0.3">
      <c r="A8" s="3"/>
      <c r="B8" s="56">
        <v>3910000</v>
      </c>
      <c r="C8" s="3">
        <f t="shared" si="0"/>
        <v>-7270000</v>
      </c>
      <c r="D8" s="57" t="s">
        <v>91</v>
      </c>
      <c r="E8" s="8" t="s">
        <v>92</v>
      </c>
      <c r="F8" s="58"/>
      <c r="H8" s="7"/>
      <c r="I8" s="7"/>
      <c r="J8" s="41">
        <f>24*65000</f>
        <v>1560000</v>
      </c>
      <c r="K8" s="41"/>
      <c r="L8" s="7">
        <f>J8-K8</f>
        <v>1560000</v>
      </c>
      <c r="M8" s="7" t="s">
        <v>44</v>
      </c>
    </row>
    <row r="9" spans="1:13" ht="15.6" x14ac:dyDescent="0.3">
      <c r="A9" s="3"/>
      <c r="B9" s="56">
        <v>2000000</v>
      </c>
      <c r="C9" s="3">
        <f t="shared" si="0"/>
        <v>-9270000</v>
      </c>
      <c r="D9" s="57" t="s">
        <v>93</v>
      </c>
      <c r="E9" s="8" t="s">
        <v>94</v>
      </c>
      <c r="F9" s="58"/>
      <c r="H9" s="7">
        <v>1</v>
      </c>
      <c r="I9" s="8">
        <v>45200</v>
      </c>
      <c r="J9" s="41"/>
      <c r="K9" s="41">
        <v>65000</v>
      </c>
      <c r="L9" s="7">
        <f>L8-K9</f>
        <v>1495000</v>
      </c>
      <c r="M9" s="7" t="s">
        <v>45</v>
      </c>
    </row>
    <row r="10" spans="1:13" ht="15.6" x14ac:dyDescent="0.3">
      <c r="A10" s="3"/>
      <c r="B10" s="56">
        <v>6919000</v>
      </c>
      <c r="C10" s="3">
        <f t="shared" si="0"/>
        <v>-16189000</v>
      </c>
      <c r="D10" s="57" t="s">
        <v>95</v>
      </c>
      <c r="E10" s="8" t="s">
        <v>96</v>
      </c>
      <c r="F10" s="58"/>
      <c r="H10" s="7">
        <v>2</v>
      </c>
      <c r="I10" s="8">
        <v>45231</v>
      </c>
      <c r="J10" s="41"/>
      <c r="K10" s="41">
        <v>65000</v>
      </c>
      <c r="L10" s="7">
        <f t="shared" ref="L10:L32" si="1">L9-K10</f>
        <v>1430000</v>
      </c>
      <c r="M10" s="7" t="s">
        <v>45</v>
      </c>
    </row>
    <row r="11" spans="1:13" ht="15.6" x14ac:dyDescent="0.3">
      <c r="A11" s="3"/>
      <c r="B11" s="56">
        <f>1225000+360000</f>
        <v>1585000</v>
      </c>
      <c r="C11" s="3">
        <f t="shared" si="0"/>
        <v>-17774000</v>
      </c>
      <c r="D11" s="57" t="s">
        <v>97</v>
      </c>
      <c r="E11" s="8" t="s">
        <v>98</v>
      </c>
      <c r="F11" s="58"/>
      <c r="H11" s="7">
        <v>3</v>
      </c>
      <c r="I11" s="8">
        <v>45261</v>
      </c>
      <c r="J11" s="41"/>
      <c r="K11" s="49">
        <v>65000</v>
      </c>
      <c r="L11" s="7">
        <f t="shared" si="1"/>
        <v>1365000</v>
      </c>
      <c r="M11" s="52">
        <v>45305</v>
      </c>
    </row>
    <row r="12" spans="1:13" ht="15.6" x14ac:dyDescent="0.3">
      <c r="A12" s="3"/>
      <c r="B12" s="56">
        <v>3525000</v>
      </c>
      <c r="C12" s="3">
        <f t="shared" si="0"/>
        <v>-21299000</v>
      </c>
      <c r="D12" s="57" t="s">
        <v>99</v>
      </c>
      <c r="E12" s="8" t="s">
        <v>100</v>
      </c>
      <c r="F12" s="58"/>
      <c r="H12" s="7">
        <v>4</v>
      </c>
      <c r="I12" s="8">
        <v>45292</v>
      </c>
      <c r="J12" s="41"/>
      <c r="K12" s="49">
        <v>65000</v>
      </c>
      <c r="L12" s="7">
        <f t="shared" si="1"/>
        <v>1300000</v>
      </c>
      <c r="M12" s="52">
        <v>45305</v>
      </c>
    </row>
    <row r="13" spans="1:13" ht="15.6" x14ac:dyDescent="0.3">
      <c r="A13" s="3"/>
      <c r="B13" s="56">
        <v>1600000</v>
      </c>
      <c r="C13" s="3">
        <f t="shared" si="0"/>
        <v>-22899000</v>
      </c>
      <c r="D13" s="57" t="s">
        <v>101</v>
      </c>
      <c r="E13" s="8" t="s">
        <v>102</v>
      </c>
      <c r="F13" s="58"/>
      <c r="H13" s="7">
        <v>5</v>
      </c>
      <c r="I13" s="8">
        <v>45323</v>
      </c>
      <c r="J13" s="41"/>
      <c r="K13" s="41">
        <v>65000</v>
      </c>
      <c r="L13" s="7">
        <f t="shared" si="1"/>
        <v>1235000</v>
      </c>
      <c r="M13" s="52">
        <v>45363</v>
      </c>
    </row>
    <row r="14" spans="1:13" ht="15.6" x14ac:dyDescent="0.3">
      <c r="A14" s="3"/>
      <c r="B14" s="56">
        <v>3500000</v>
      </c>
      <c r="C14" s="3">
        <f t="shared" si="0"/>
        <v>-26399000</v>
      </c>
      <c r="D14" s="57" t="s">
        <v>103</v>
      </c>
      <c r="E14" s="8" t="s">
        <v>68</v>
      </c>
      <c r="F14" s="58"/>
      <c r="H14" s="7">
        <v>6</v>
      </c>
      <c r="I14" s="8">
        <v>45352</v>
      </c>
      <c r="J14" s="41"/>
      <c r="K14" s="41">
        <v>65000</v>
      </c>
      <c r="L14" s="7">
        <f t="shared" si="1"/>
        <v>1170000</v>
      </c>
      <c r="M14" s="52">
        <v>45363</v>
      </c>
    </row>
    <row r="15" spans="1:13" ht="46.8" x14ac:dyDescent="0.3">
      <c r="A15" s="59">
        <f>10005000</f>
        <v>10005000</v>
      </c>
      <c r="B15" s="60"/>
      <c r="C15" s="59">
        <f t="shared" si="0"/>
        <v>-16394000</v>
      </c>
      <c r="D15" s="61" t="s">
        <v>370</v>
      </c>
      <c r="E15" s="62"/>
      <c r="F15" s="246">
        <f>16738000</f>
        <v>16738000</v>
      </c>
      <c r="G15" s="186" t="s">
        <v>369</v>
      </c>
      <c r="H15" s="7">
        <v>7</v>
      </c>
      <c r="I15" s="8">
        <v>45383</v>
      </c>
      <c r="J15" s="41"/>
      <c r="K15" s="41">
        <v>65000</v>
      </c>
      <c r="L15" s="7">
        <f t="shared" si="1"/>
        <v>1105000</v>
      </c>
      <c r="M15" s="52">
        <v>45398</v>
      </c>
    </row>
    <row r="16" spans="1:13" ht="31.2" x14ac:dyDescent="0.3">
      <c r="A16" s="34">
        <v>768000</v>
      </c>
      <c r="B16" s="3"/>
      <c r="C16" s="3">
        <f t="shared" si="0"/>
        <v>-15626000</v>
      </c>
      <c r="D16" s="34" t="s">
        <v>28</v>
      </c>
      <c r="E16" s="35">
        <v>45742.740138888897</v>
      </c>
      <c r="F16" s="246">
        <v>16374000</v>
      </c>
      <c r="G16" s="186" t="s">
        <v>368</v>
      </c>
      <c r="H16" s="7">
        <v>8</v>
      </c>
      <c r="I16" s="8">
        <v>45427</v>
      </c>
      <c r="J16" s="41"/>
      <c r="K16" s="41">
        <v>65000</v>
      </c>
      <c r="L16" s="7">
        <f t="shared" si="1"/>
        <v>1040000</v>
      </c>
      <c r="M16" s="52">
        <v>45427</v>
      </c>
    </row>
    <row r="17" spans="1:13" ht="15.6" x14ac:dyDescent="0.3">
      <c r="A17" s="34">
        <v>4000</v>
      </c>
      <c r="B17" s="3"/>
      <c r="C17" s="3">
        <f t="shared" si="0"/>
        <v>-15622000</v>
      </c>
      <c r="D17" s="34" t="s">
        <v>28</v>
      </c>
      <c r="E17" s="35">
        <v>45742.740138888897</v>
      </c>
      <c r="F17" s="246">
        <f>F16-F15</f>
        <v>-364000</v>
      </c>
      <c r="G17" s="15"/>
      <c r="H17" s="7">
        <v>9</v>
      </c>
      <c r="I17" s="8">
        <v>45458</v>
      </c>
      <c r="J17" s="41"/>
      <c r="K17" s="41">
        <v>65000</v>
      </c>
      <c r="L17" s="7">
        <f t="shared" si="1"/>
        <v>975000</v>
      </c>
      <c r="M17" s="52">
        <v>45455</v>
      </c>
    </row>
    <row r="18" spans="1:13" ht="15.6" x14ac:dyDescent="0.3">
      <c r="A18" s="34">
        <v>1300000</v>
      </c>
      <c r="B18" s="3"/>
      <c r="C18" s="3">
        <f t="shared" si="0"/>
        <v>-14322000</v>
      </c>
      <c r="D18" s="34" t="s">
        <v>28</v>
      </c>
      <c r="E18" s="35">
        <v>45810.431875000002</v>
      </c>
      <c r="F18" s="58"/>
      <c r="H18" s="7">
        <v>10</v>
      </c>
      <c r="I18" s="8">
        <v>45488</v>
      </c>
      <c r="J18" s="41"/>
      <c r="K18" s="41">
        <v>65000</v>
      </c>
      <c r="L18" s="7">
        <f t="shared" si="1"/>
        <v>910000</v>
      </c>
      <c r="M18" s="7"/>
    </row>
    <row r="19" spans="1:13" ht="15.6" x14ac:dyDescent="0.3">
      <c r="A19" s="34">
        <v>2832000</v>
      </c>
      <c r="B19" s="3"/>
      <c r="C19" s="3">
        <f t="shared" si="0"/>
        <v>-11490000</v>
      </c>
      <c r="D19" s="34" t="s">
        <v>28</v>
      </c>
      <c r="E19" s="35">
        <v>45909.701252858802</v>
      </c>
      <c r="F19" s="58"/>
      <c r="H19" s="7">
        <v>11</v>
      </c>
      <c r="I19" s="8">
        <v>45519</v>
      </c>
      <c r="J19" s="41"/>
      <c r="K19" s="41">
        <v>65000</v>
      </c>
      <c r="L19" s="7">
        <f t="shared" si="1"/>
        <v>845000</v>
      </c>
      <c r="M19" s="52">
        <v>45564</v>
      </c>
    </row>
    <row r="20" spans="1:13" ht="15.6" x14ac:dyDescent="0.3">
      <c r="A20" s="75">
        <v>6000</v>
      </c>
      <c r="B20" s="56"/>
      <c r="C20" s="56">
        <f t="shared" si="0"/>
        <v>-11484000</v>
      </c>
      <c r="D20" s="75" t="s">
        <v>28</v>
      </c>
      <c r="E20" s="35">
        <v>45968.566643518498</v>
      </c>
      <c r="F20" s="58"/>
      <c r="H20" s="7">
        <v>12</v>
      </c>
      <c r="I20" s="8">
        <v>45550</v>
      </c>
      <c r="J20" s="41"/>
      <c r="K20" s="49">
        <v>65000</v>
      </c>
      <c r="L20" s="7">
        <f t="shared" si="1"/>
        <v>780000</v>
      </c>
      <c r="M20" s="7" t="s">
        <v>136</v>
      </c>
    </row>
    <row r="21" spans="1:13" ht="15.6" x14ac:dyDescent="0.3">
      <c r="A21" s="75">
        <v>2000000</v>
      </c>
      <c r="B21" s="56"/>
      <c r="C21" s="56">
        <f t="shared" si="0"/>
        <v>-9484000</v>
      </c>
      <c r="D21" s="75" t="s">
        <v>28</v>
      </c>
      <c r="E21" s="35">
        <v>45969.427082407397</v>
      </c>
      <c r="F21" s="58"/>
      <c r="H21" s="7">
        <v>13</v>
      </c>
      <c r="I21" s="8">
        <v>45580</v>
      </c>
      <c r="J21" s="41"/>
      <c r="K21" s="49">
        <v>65000</v>
      </c>
      <c r="L21" s="7">
        <f t="shared" si="1"/>
        <v>715000</v>
      </c>
      <c r="M21" s="7" t="s">
        <v>136</v>
      </c>
    </row>
    <row r="22" spans="1:13" ht="15.6" x14ac:dyDescent="0.3">
      <c r="A22" s="75">
        <v>500000</v>
      </c>
      <c r="B22" s="56"/>
      <c r="C22" s="56">
        <f t="shared" si="0"/>
        <v>-8984000</v>
      </c>
      <c r="D22" s="75" t="s">
        <v>104</v>
      </c>
      <c r="E22" s="35">
        <v>45979.0688000347</v>
      </c>
      <c r="F22" s="58"/>
      <c r="H22" s="7">
        <v>14</v>
      </c>
      <c r="I22" s="8">
        <v>45611</v>
      </c>
      <c r="J22" s="41"/>
      <c r="K22" s="49">
        <v>65000</v>
      </c>
      <c r="L22" s="7">
        <f t="shared" si="1"/>
        <v>650000</v>
      </c>
      <c r="M22" s="7" t="s">
        <v>136</v>
      </c>
    </row>
    <row r="23" spans="1:13" ht="15.6" x14ac:dyDescent="0.3">
      <c r="A23" s="75">
        <v>1400000</v>
      </c>
      <c r="B23" s="56"/>
      <c r="C23" s="56">
        <f t="shared" si="0"/>
        <v>-7584000</v>
      </c>
      <c r="D23" s="75" t="s">
        <v>28</v>
      </c>
      <c r="E23" s="35">
        <v>46013.063314930601</v>
      </c>
      <c r="F23" s="58"/>
      <c r="H23" s="7">
        <v>15</v>
      </c>
      <c r="I23" s="8">
        <v>45641</v>
      </c>
      <c r="J23" s="41"/>
      <c r="K23" s="42">
        <v>65000</v>
      </c>
      <c r="L23" s="7">
        <f t="shared" si="1"/>
        <v>585000</v>
      </c>
      <c r="M23" s="7" t="s">
        <v>136</v>
      </c>
    </row>
    <row r="24" spans="1:13" ht="15.6" x14ac:dyDescent="0.3">
      <c r="A24" s="75">
        <v>61000</v>
      </c>
      <c r="B24" s="56"/>
      <c r="C24" s="56">
        <f t="shared" si="0"/>
        <v>-7523000</v>
      </c>
      <c r="D24" s="75" t="s">
        <v>28</v>
      </c>
      <c r="E24" s="35">
        <v>46020.3308519329</v>
      </c>
      <c r="F24" s="58"/>
      <c r="H24" s="7">
        <v>16</v>
      </c>
      <c r="I24" s="8">
        <v>45672</v>
      </c>
      <c r="J24" s="41"/>
      <c r="K24" s="41">
        <v>65000</v>
      </c>
      <c r="L24" s="7">
        <f t="shared" si="1"/>
        <v>520000</v>
      </c>
      <c r="M24" s="7"/>
    </row>
    <row r="25" spans="1:13" ht="15.6" x14ac:dyDescent="0.3">
      <c r="A25" s="125">
        <v>10000</v>
      </c>
      <c r="B25" s="60"/>
      <c r="C25" s="60">
        <f t="shared" si="0"/>
        <v>-7513000</v>
      </c>
      <c r="D25" s="125" t="s">
        <v>105</v>
      </c>
      <c r="E25" s="63">
        <v>46001.33085648148</v>
      </c>
      <c r="F25" s="58"/>
      <c r="H25" s="7">
        <v>17</v>
      </c>
      <c r="I25" s="8">
        <v>45703</v>
      </c>
      <c r="J25" s="41"/>
      <c r="K25" s="41">
        <v>65000</v>
      </c>
      <c r="L25" s="7">
        <f t="shared" si="1"/>
        <v>455000</v>
      </c>
      <c r="M25" s="7"/>
    </row>
    <row r="26" spans="1:13" ht="15.6" x14ac:dyDescent="0.3">
      <c r="A26" s="242"/>
      <c r="B26" s="226">
        <v>1700000</v>
      </c>
      <c r="C26" s="242">
        <f t="shared" si="0"/>
        <v>-9213000</v>
      </c>
      <c r="D26" s="99" t="s">
        <v>106</v>
      </c>
      <c r="E26" s="66">
        <v>46001.421585648102</v>
      </c>
      <c r="F26" s="58"/>
      <c r="H26" s="7">
        <v>18</v>
      </c>
      <c r="I26" s="8">
        <v>45731</v>
      </c>
      <c r="J26" s="41"/>
      <c r="K26" s="41">
        <v>65000</v>
      </c>
      <c r="L26" s="7">
        <f t="shared" si="1"/>
        <v>390000</v>
      </c>
      <c r="M26" s="7"/>
    </row>
    <row r="27" spans="1:13" ht="15.6" x14ac:dyDescent="0.3">
      <c r="A27" s="242"/>
      <c r="B27" s="226">
        <v>1700000</v>
      </c>
      <c r="C27" s="242">
        <f t="shared" si="0"/>
        <v>-10913000</v>
      </c>
      <c r="D27" s="99" t="s">
        <v>107</v>
      </c>
      <c r="E27" s="66">
        <v>46001.4230439815</v>
      </c>
      <c r="F27" s="58"/>
      <c r="H27" s="7">
        <v>19</v>
      </c>
      <c r="I27" s="8">
        <v>45762</v>
      </c>
      <c r="J27" s="41"/>
      <c r="K27" s="41">
        <v>65000</v>
      </c>
      <c r="L27" s="7">
        <f t="shared" si="1"/>
        <v>325000</v>
      </c>
      <c r="M27" s="7"/>
    </row>
    <row r="28" spans="1:13" ht="15.6" x14ac:dyDescent="0.3">
      <c r="A28" s="242"/>
      <c r="B28" s="226">
        <v>1700000</v>
      </c>
      <c r="C28" s="242">
        <f t="shared" si="0"/>
        <v>-12613000</v>
      </c>
      <c r="D28" s="99" t="s">
        <v>108</v>
      </c>
      <c r="E28" s="66">
        <v>46001.423831018503</v>
      </c>
      <c r="F28" s="58"/>
      <c r="H28" s="7">
        <v>20</v>
      </c>
      <c r="I28" s="8">
        <v>45792</v>
      </c>
      <c r="J28" s="41"/>
      <c r="K28" s="41">
        <v>65000</v>
      </c>
      <c r="L28" s="7">
        <f t="shared" si="1"/>
        <v>260000</v>
      </c>
      <c r="M28" s="7"/>
    </row>
    <row r="29" spans="1:13" ht="15.6" x14ac:dyDescent="0.3">
      <c r="A29" s="242"/>
      <c r="B29" s="226">
        <v>2720000</v>
      </c>
      <c r="C29" s="242">
        <f t="shared" si="0"/>
        <v>-15333000</v>
      </c>
      <c r="D29" s="99" t="s">
        <v>109</v>
      </c>
      <c r="E29" s="66">
        <v>46001.425023148098</v>
      </c>
      <c r="F29" s="58"/>
      <c r="H29" s="7">
        <v>21</v>
      </c>
      <c r="I29" s="8">
        <v>45823</v>
      </c>
      <c r="J29" s="41"/>
      <c r="K29" s="41">
        <v>65000</v>
      </c>
      <c r="L29" s="7">
        <f t="shared" si="1"/>
        <v>195000</v>
      </c>
      <c r="M29" s="7" t="s">
        <v>409</v>
      </c>
    </row>
    <row r="30" spans="1:13" ht="15.6" x14ac:dyDescent="0.3">
      <c r="A30" s="226"/>
      <c r="B30" s="226">
        <v>2890000</v>
      </c>
      <c r="C30" s="242">
        <f t="shared" si="0"/>
        <v>-18223000</v>
      </c>
      <c r="D30" s="99" t="s">
        <v>110</v>
      </c>
      <c r="E30" s="66">
        <v>46001.425960648201</v>
      </c>
      <c r="F30" s="58"/>
      <c r="H30" s="7">
        <v>22</v>
      </c>
      <c r="I30" s="8">
        <v>45853</v>
      </c>
      <c r="J30" s="41"/>
      <c r="K30" s="41">
        <v>65000</v>
      </c>
      <c r="L30" s="7">
        <f t="shared" si="1"/>
        <v>130000</v>
      </c>
      <c r="M30" s="7"/>
    </row>
    <row r="31" spans="1:13" ht="15.6" x14ac:dyDescent="0.3">
      <c r="A31" s="226"/>
      <c r="B31" s="226">
        <v>2805000</v>
      </c>
      <c r="C31" s="242">
        <f t="shared" si="0"/>
        <v>-21028000</v>
      </c>
      <c r="D31" s="99" t="s">
        <v>111</v>
      </c>
      <c r="E31" s="66">
        <v>46001.427534722199</v>
      </c>
      <c r="F31" s="58"/>
      <c r="H31" s="7">
        <v>23</v>
      </c>
      <c r="I31" s="8">
        <v>45884</v>
      </c>
      <c r="J31" s="41"/>
      <c r="K31" s="41">
        <v>65000</v>
      </c>
      <c r="L31" s="7">
        <f t="shared" si="1"/>
        <v>65000</v>
      </c>
      <c r="M31" s="7"/>
    </row>
    <row r="32" spans="1:13" ht="15.6" x14ac:dyDescent="0.3">
      <c r="A32" s="156">
        <v>250000</v>
      </c>
      <c r="B32" s="56"/>
      <c r="C32" s="56">
        <f t="shared" si="0"/>
        <v>-20778000</v>
      </c>
      <c r="D32" s="75" t="s">
        <v>304</v>
      </c>
      <c r="E32" s="67" t="s">
        <v>303</v>
      </c>
      <c r="F32" s="58"/>
      <c r="H32" s="7">
        <v>24</v>
      </c>
      <c r="I32" s="8">
        <v>45915</v>
      </c>
      <c r="J32" s="41"/>
      <c r="K32" s="41">
        <v>65000</v>
      </c>
      <c r="L32" s="7">
        <f t="shared" si="1"/>
        <v>0</v>
      </c>
      <c r="M32" s="7" t="s">
        <v>409</v>
      </c>
    </row>
    <row r="33" spans="1:14" ht="15.6" x14ac:dyDescent="0.3">
      <c r="A33" s="156">
        <v>250000</v>
      </c>
      <c r="B33" s="56"/>
      <c r="C33" s="56">
        <f t="shared" si="0"/>
        <v>-20528000</v>
      </c>
      <c r="D33" s="75" t="s">
        <v>28</v>
      </c>
      <c r="E33" s="67" t="s">
        <v>299</v>
      </c>
      <c r="F33" s="58"/>
      <c r="H33" s="7"/>
      <c r="I33" s="7"/>
      <c r="J33" s="41"/>
      <c r="K33" s="41"/>
      <c r="L33" s="7"/>
      <c r="M33" s="7"/>
    </row>
    <row r="34" spans="1:14" ht="15.6" x14ac:dyDescent="0.3">
      <c r="A34" s="156">
        <v>250000</v>
      </c>
      <c r="B34" s="56"/>
      <c r="C34" s="56">
        <f t="shared" si="0"/>
        <v>-20278000</v>
      </c>
      <c r="D34" s="75" t="s">
        <v>28</v>
      </c>
      <c r="E34" s="67" t="s">
        <v>491</v>
      </c>
      <c r="F34" s="58"/>
      <c r="H34" s="7"/>
      <c r="I34" s="7"/>
      <c r="J34" s="41"/>
      <c r="K34" s="41"/>
      <c r="L34" s="7"/>
      <c r="M34" s="7"/>
    </row>
    <row r="35" spans="1:14" ht="15.6" x14ac:dyDescent="0.3">
      <c r="A35" s="156">
        <v>250000</v>
      </c>
      <c r="B35" s="56"/>
      <c r="C35" s="56">
        <f t="shared" si="0"/>
        <v>-20028000</v>
      </c>
      <c r="D35" s="75" t="s">
        <v>28</v>
      </c>
      <c r="E35" s="67">
        <v>46331</v>
      </c>
      <c r="F35" s="58"/>
      <c r="H35" s="15"/>
      <c r="I35" s="15"/>
      <c r="J35" s="15"/>
      <c r="K35" s="15"/>
      <c r="L35" s="15"/>
      <c r="M35" s="15"/>
    </row>
    <row r="36" spans="1:14" ht="15.6" x14ac:dyDescent="0.3">
      <c r="A36" s="156">
        <v>949895</v>
      </c>
      <c r="B36" s="56"/>
      <c r="C36" s="56">
        <f t="shared" si="0"/>
        <v>-19078105</v>
      </c>
      <c r="D36" s="75" t="s">
        <v>28</v>
      </c>
      <c r="E36" s="67" t="s">
        <v>488</v>
      </c>
      <c r="F36" s="58"/>
      <c r="H36" s="15"/>
      <c r="I36" s="15"/>
      <c r="J36" s="15"/>
      <c r="K36" s="190" t="s">
        <v>410</v>
      </c>
      <c r="L36" s="15"/>
      <c r="M36" s="15"/>
    </row>
    <row r="37" spans="1:14" ht="15.6" x14ac:dyDescent="0.3">
      <c r="A37" s="156">
        <v>105</v>
      </c>
      <c r="B37" s="56"/>
      <c r="C37" s="56">
        <f t="shared" si="0"/>
        <v>-19078000</v>
      </c>
      <c r="D37" s="75" t="s">
        <v>571</v>
      </c>
      <c r="E37" s="67">
        <v>46171</v>
      </c>
      <c r="F37" s="58"/>
    </row>
    <row r="38" spans="1:14" ht="15.6" x14ac:dyDescent="0.3">
      <c r="A38" s="156">
        <v>250000</v>
      </c>
      <c r="B38" s="56"/>
      <c r="C38" s="56">
        <f t="shared" si="0"/>
        <v>-18828000</v>
      </c>
      <c r="D38" s="75" t="s">
        <v>28</v>
      </c>
      <c r="E38" s="67" t="s">
        <v>488</v>
      </c>
      <c r="F38" s="58"/>
    </row>
    <row r="39" spans="1:14" ht="15.6" x14ac:dyDescent="0.3">
      <c r="A39" s="156">
        <v>250000</v>
      </c>
      <c r="B39" s="56"/>
      <c r="C39" s="56">
        <f t="shared" si="0"/>
        <v>-18578000</v>
      </c>
      <c r="D39" s="75" t="s">
        <v>28</v>
      </c>
      <c r="E39" s="67" t="s">
        <v>78</v>
      </c>
      <c r="F39" s="58"/>
      <c r="H39" s="54"/>
      <c r="I39" s="54" t="s">
        <v>37</v>
      </c>
      <c r="J39" s="282" t="s">
        <v>411</v>
      </c>
      <c r="K39" s="282"/>
      <c r="L39" s="282"/>
      <c r="M39" s="191" t="s">
        <v>412</v>
      </c>
      <c r="N39" s="54" t="s">
        <v>87</v>
      </c>
    </row>
    <row r="40" spans="1:14" ht="15.6" x14ac:dyDescent="0.3">
      <c r="A40" s="156">
        <v>2050000</v>
      </c>
      <c r="B40" s="56"/>
      <c r="C40" s="56">
        <f t="shared" si="0"/>
        <v>-16528000</v>
      </c>
      <c r="D40" s="75" t="s">
        <v>28</v>
      </c>
      <c r="E40" s="67" t="s">
        <v>489</v>
      </c>
      <c r="F40" s="58"/>
      <c r="H40" s="7" t="s">
        <v>40</v>
      </c>
      <c r="I40" s="7" t="s">
        <v>6</v>
      </c>
      <c r="J40" s="7" t="s">
        <v>5</v>
      </c>
      <c r="K40" s="41" t="s">
        <v>41</v>
      </c>
      <c r="L40" s="41" t="s">
        <v>42</v>
      </c>
      <c r="M40" s="7" t="s">
        <v>43</v>
      </c>
      <c r="N40" s="7" t="s">
        <v>538</v>
      </c>
    </row>
    <row r="41" spans="1:14" ht="15.6" x14ac:dyDescent="0.3">
      <c r="A41" s="156"/>
      <c r="B41" s="56">
        <v>214000</v>
      </c>
      <c r="C41" s="56">
        <f t="shared" si="0"/>
        <v>-16742000</v>
      </c>
      <c r="D41" s="75" t="s">
        <v>490</v>
      </c>
      <c r="E41" s="67" t="s">
        <v>489</v>
      </c>
      <c r="F41" s="58"/>
      <c r="H41" s="7"/>
      <c r="I41" s="8"/>
      <c r="J41" s="8" t="s">
        <v>413</v>
      </c>
      <c r="K41" s="41">
        <f>24*75000</f>
        <v>1800000</v>
      </c>
      <c r="L41" s="41"/>
      <c r="M41" s="7">
        <f>K41-L41</f>
        <v>1800000</v>
      </c>
      <c r="N41" s="7"/>
    </row>
    <row r="42" spans="1:14" ht="15.6" x14ac:dyDescent="0.3">
      <c r="A42" s="36">
        <v>1246500</v>
      </c>
      <c r="B42" s="56"/>
      <c r="C42" s="56">
        <f t="shared" si="0"/>
        <v>-15495500</v>
      </c>
      <c r="D42" s="34"/>
      <c r="E42" s="170">
        <v>46250</v>
      </c>
      <c r="F42" s="58"/>
      <c r="H42" s="7"/>
      <c r="I42" s="103"/>
      <c r="J42" s="103"/>
      <c r="K42" s="41"/>
      <c r="L42" s="41"/>
      <c r="M42" s="7">
        <f>M41-L42</f>
        <v>1800000</v>
      </c>
      <c r="N42" s="7" t="s">
        <v>414</v>
      </c>
    </row>
    <row r="43" spans="1:14" ht="15.6" x14ac:dyDescent="0.3">
      <c r="A43" s="36">
        <v>2500000</v>
      </c>
      <c r="B43" s="56"/>
      <c r="C43" s="56">
        <f t="shared" si="0"/>
        <v>-12995500</v>
      </c>
      <c r="D43" s="34" t="s">
        <v>578</v>
      </c>
      <c r="E43" s="170">
        <v>46308</v>
      </c>
      <c r="F43" s="58"/>
      <c r="H43" s="7">
        <v>1</v>
      </c>
      <c r="I43" s="192">
        <v>45427</v>
      </c>
      <c r="J43" s="46"/>
      <c r="K43" s="47"/>
      <c r="L43" s="47">
        <v>75000</v>
      </c>
      <c r="M43" s="48">
        <f t="shared" ref="M43:M65" si="2">M42-L43</f>
        <v>1725000</v>
      </c>
      <c r="N43" s="48" t="s">
        <v>136</v>
      </c>
    </row>
    <row r="44" spans="1:14" ht="15.6" x14ac:dyDescent="0.3">
      <c r="A44" s="36"/>
      <c r="B44" s="3"/>
      <c r="C44" s="56">
        <f t="shared" si="0"/>
        <v>-12995500</v>
      </c>
      <c r="D44" s="34"/>
      <c r="E44" s="67"/>
      <c r="F44" s="58"/>
      <c r="H44" s="7">
        <v>2</v>
      </c>
      <c r="I44" s="46">
        <v>45458</v>
      </c>
      <c r="J44" s="46"/>
      <c r="K44" s="47"/>
      <c r="L44" s="47">
        <v>75000</v>
      </c>
      <c r="M44" s="48">
        <f t="shared" si="2"/>
        <v>1650000</v>
      </c>
      <c r="N44" s="48" t="s">
        <v>136</v>
      </c>
    </row>
    <row r="45" spans="1:14" ht="15.6" x14ac:dyDescent="0.3">
      <c r="A45" s="36"/>
      <c r="B45" s="3"/>
      <c r="C45" s="56">
        <f t="shared" si="0"/>
        <v>-12995500</v>
      </c>
      <c r="D45" s="34"/>
      <c r="E45" s="67"/>
      <c r="F45" s="58"/>
      <c r="H45" s="7">
        <v>3</v>
      </c>
      <c r="I45" s="192">
        <v>45488</v>
      </c>
      <c r="J45" s="46"/>
      <c r="K45" s="47"/>
      <c r="L45" s="47">
        <v>75000</v>
      </c>
      <c r="M45" s="48">
        <f t="shared" si="2"/>
        <v>1575000</v>
      </c>
      <c r="N45" s="48" t="s">
        <v>136</v>
      </c>
    </row>
    <row r="46" spans="1:14" ht="15.6" x14ac:dyDescent="0.3">
      <c r="A46" s="36"/>
      <c r="B46" s="3"/>
      <c r="C46" s="56">
        <f t="shared" si="0"/>
        <v>-12995500</v>
      </c>
      <c r="D46" s="34"/>
      <c r="E46" s="67"/>
      <c r="F46" s="58"/>
      <c r="H46" s="7">
        <v>4</v>
      </c>
      <c r="I46" s="46">
        <v>45519</v>
      </c>
      <c r="J46" s="46"/>
      <c r="K46" s="47"/>
      <c r="L46" s="47">
        <v>75000</v>
      </c>
      <c r="M46" s="48">
        <f t="shared" si="2"/>
        <v>1500000</v>
      </c>
      <c r="N46" s="193">
        <v>45564</v>
      </c>
    </row>
    <row r="47" spans="1:14" ht="15.6" x14ac:dyDescent="0.3">
      <c r="A47" s="36"/>
      <c r="B47" s="3"/>
      <c r="C47" s="56">
        <f t="shared" si="0"/>
        <v>-12995500</v>
      </c>
      <c r="D47" s="34"/>
      <c r="E47" s="67"/>
      <c r="F47" s="58"/>
      <c r="H47" s="7">
        <v>5</v>
      </c>
      <c r="I47" s="192">
        <v>45550</v>
      </c>
      <c r="J47" s="46"/>
      <c r="K47" s="47"/>
      <c r="L47" s="47">
        <v>75000</v>
      </c>
      <c r="M47" s="48">
        <f t="shared" si="2"/>
        <v>1425000</v>
      </c>
      <c r="N47" s="48" t="s">
        <v>136</v>
      </c>
    </row>
    <row r="48" spans="1:14" ht="15.6" x14ac:dyDescent="0.3">
      <c r="A48" s="36"/>
      <c r="B48" s="3"/>
      <c r="C48" s="56">
        <f t="shared" si="0"/>
        <v>-12995500</v>
      </c>
      <c r="D48" s="34"/>
      <c r="E48" s="67"/>
      <c r="F48" s="58"/>
      <c r="H48" s="7">
        <v>6</v>
      </c>
      <c r="I48" s="46">
        <v>45580</v>
      </c>
      <c r="J48" s="46"/>
      <c r="K48" s="47"/>
      <c r="L48" s="47">
        <v>75000</v>
      </c>
      <c r="M48" s="48">
        <f t="shared" si="2"/>
        <v>1350000</v>
      </c>
      <c r="N48" s="48" t="s">
        <v>136</v>
      </c>
    </row>
    <row r="49" spans="1:15" ht="15.6" x14ac:dyDescent="0.3">
      <c r="A49" s="36"/>
      <c r="B49" s="3"/>
      <c r="C49" s="56">
        <f t="shared" si="0"/>
        <v>-12995500</v>
      </c>
      <c r="D49" s="34"/>
      <c r="E49" s="67"/>
      <c r="F49" s="58"/>
      <c r="H49" s="7">
        <v>7</v>
      </c>
      <c r="I49" s="192">
        <v>45611</v>
      </c>
      <c r="J49" s="46"/>
      <c r="K49" s="47"/>
      <c r="L49" s="47">
        <v>75000</v>
      </c>
      <c r="M49" s="48">
        <f t="shared" si="2"/>
        <v>1275000</v>
      </c>
      <c r="N49" s="48" t="s">
        <v>136</v>
      </c>
    </row>
    <row r="50" spans="1:15" ht="15.6" x14ac:dyDescent="0.3">
      <c r="A50" s="36"/>
      <c r="B50" s="3"/>
      <c r="C50" s="56">
        <f t="shared" si="0"/>
        <v>-12995500</v>
      </c>
      <c r="D50" s="34"/>
      <c r="E50" s="67"/>
      <c r="F50" s="58"/>
      <c r="H50" s="92">
        <v>8</v>
      </c>
      <c r="I50" s="8">
        <v>45641</v>
      </c>
      <c r="J50" s="194"/>
      <c r="K50" s="102"/>
      <c r="L50" s="42">
        <v>75000</v>
      </c>
      <c r="M50" s="87">
        <f t="shared" si="2"/>
        <v>1200000</v>
      </c>
      <c r="N50" s="87"/>
    </row>
    <row r="51" spans="1:15" ht="15.6" x14ac:dyDescent="0.3">
      <c r="A51" s="36"/>
      <c r="B51" s="3"/>
      <c r="C51" s="56">
        <f t="shared" si="0"/>
        <v>-12995500</v>
      </c>
      <c r="D51" s="34"/>
      <c r="E51" s="67"/>
      <c r="F51" s="58"/>
      <c r="H51" s="92">
        <v>9</v>
      </c>
      <c r="I51" s="103">
        <v>45672</v>
      </c>
      <c r="J51" s="194"/>
      <c r="K51" s="102"/>
      <c r="L51" s="41">
        <v>75000</v>
      </c>
      <c r="M51" s="87">
        <f t="shared" si="2"/>
        <v>1125000</v>
      </c>
      <c r="N51" s="87"/>
    </row>
    <row r="52" spans="1:15" ht="15.6" x14ac:dyDescent="0.3">
      <c r="A52" s="36"/>
      <c r="B52" s="3"/>
      <c r="C52" s="56">
        <f t="shared" si="0"/>
        <v>-12995500</v>
      </c>
      <c r="D52" s="34"/>
      <c r="E52" s="67"/>
      <c r="F52" s="58"/>
      <c r="H52" s="92">
        <v>10</v>
      </c>
      <c r="I52" s="8">
        <v>45703</v>
      </c>
      <c r="J52" s="8"/>
      <c r="K52" s="41"/>
      <c r="L52" s="41">
        <v>75000</v>
      </c>
      <c r="M52" s="7">
        <f t="shared" si="2"/>
        <v>1050000</v>
      </c>
      <c r="N52" s="87" t="s">
        <v>415</v>
      </c>
    </row>
    <row r="53" spans="1:15" ht="15.6" x14ac:dyDescent="0.3">
      <c r="A53" s="36"/>
      <c r="B53" s="3"/>
      <c r="C53" s="56">
        <f t="shared" si="0"/>
        <v>-12995500</v>
      </c>
      <c r="D53" s="34"/>
      <c r="E53" s="67"/>
      <c r="F53" s="58"/>
      <c r="H53" s="92">
        <v>11</v>
      </c>
      <c r="I53" s="103">
        <v>45731</v>
      </c>
      <c r="J53" s="8"/>
      <c r="K53" s="41"/>
      <c r="L53" s="41">
        <v>75000</v>
      </c>
      <c r="M53" s="7">
        <f t="shared" si="2"/>
        <v>975000</v>
      </c>
      <c r="N53" s="87"/>
    </row>
    <row r="54" spans="1:15" ht="15.6" x14ac:dyDescent="0.3">
      <c r="A54" s="36"/>
      <c r="B54" s="3"/>
      <c r="C54" s="56">
        <f t="shared" si="0"/>
        <v>-12995500</v>
      </c>
      <c r="D54" s="34"/>
      <c r="E54" s="67"/>
      <c r="F54" s="58"/>
      <c r="H54" s="92">
        <v>12</v>
      </c>
      <c r="I54" s="8">
        <v>45762</v>
      </c>
      <c r="J54" s="109"/>
      <c r="K54" s="110"/>
      <c r="L54" s="41">
        <v>75000</v>
      </c>
      <c r="M54" s="7">
        <f t="shared" si="2"/>
        <v>900000</v>
      </c>
      <c r="N54" s="87" t="s">
        <v>136</v>
      </c>
    </row>
    <row r="55" spans="1:15" ht="15.6" x14ac:dyDescent="0.3">
      <c r="A55" s="36"/>
      <c r="B55" s="3"/>
      <c r="C55" s="56">
        <f t="shared" si="0"/>
        <v>-12995500</v>
      </c>
      <c r="D55" s="34"/>
      <c r="E55" s="67"/>
      <c r="F55" s="58"/>
      <c r="G55" s="259">
        <f>C50+[1]Sheet1!$X$11</f>
        <v>0</v>
      </c>
      <c r="H55" s="92">
        <v>13</v>
      </c>
      <c r="I55" s="103">
        <v>45792</v>
      </c>
      <c r="J55" s="109"/>
      <c r="K55" s="110"/>
      <c r="L55" s="41">
        <v>75000</v>
      </c>
      <c r="M55" s="7">
        <f t="shared" si="2"/>
        <v>825000</v>
      </c>
      <c r="N55" s="7"/>
    </row>
    <row r="56" spans="1:15" ht="15.6" x14ac:dyDescent="0.3">
      <c r="A56" s="36"/>
      <c r="B56" s="3"/>
      <c r="C56" s="56">
        <f t="shared" si="0"/>
        <v>-12995500</v>
      </c>
      <c r="D56" s="34"/>
      <c r="E56" s="67"/>
      <c r="F56" s="58"/>
      <c r="H56" s="92">
        <v>14</v>
      </c>
      <c r="I56" s="8">
        <v>45823</v>
      </c>
      <c r="J56" s="109"/>
      <c r="K56" s="110"/>
      <c r="L56" s="41">
        <v>75000</v>
      </c>
      <c r="M56" s="7">
        <f t="shared" si="2"/>
        <v>750000</v>
      </c>
      <c r="N56" s="7"/>
    </row>
    <row r="57" spans="1:15" ht="15.6" x14ac:dyDescent="0.3">
      <c r="A57" s="36"/>
      <c r="B57" s="3"/>
      <c r="C57" s="56">
        <f t="shared" si="0"/>
        <v>-12995500</v>
      </c>
      <c r="D57" s="34"/>
      <c r="E57" s="67"/>
      <c r="F57" s="58"/>
      <c r="H57" s="92">
        <v>15</v>
      </c>
      <c r="I57" s="103">
        <v>45853</v>
      </c>
      <c r="J57" s="109"/>
      <c r="K57" s="110"/>
      <c r="L57" s="41">
        <v>75000</v>
      </c>
      <c r="M57" s="7">
        <f t="shared" si="2"/>
        <v>675000</v>
      </c>
      <c r="N57" s="7"/>
    </row>
    <row r="58" spans="1:15" ht="15.6" x14ac:dyDescent="0.3">
      <c r="A58" s="36"/>
      <c r="B58" s="3"/>
      <c r="C58" s="56">
        <f t="shared" si="0"/>
        <v>-12995500</v>
      </c>
      <c r="D58" s="34"/>
      <c r="E58" s="67"/>
      <c r="F58" s="58"/>
      <c r="H58" s="92">
        <v>16</v>
      </c>
      <c r="I58" s="8">
        <v>45884</v>
      </c>
      <c r="J58" s="109"/>
      <c r="K58" s="110"/>
      <c r="L58" s="41">
        <v>75000</v>
      </c>
      <c r="M58" s="7">
        <f t="shared" si="2"/>
        <v>600000</v>
      </c>
      <c r="N58" s="7"/>
    </row>
    <row r="59" spans="1:15" ht="15.6" x14ac:dyDescent="0.3">
      <c r="A59" s="36"/>
      <c r="B59" s="3"/>
      <c r="C59" s="56">
        <f t="shared" si="0"/>
        <v>-12995500</v>
      </c>
      <c r="D59" s="34"/>
      <c r="E59" s="67"/>
      <c r="F59" s="58"/>
      <c r="H59" s="92">
        <v>17</v>
      </c>
      <c r="I59" s="103">
        <v>45915</v>
      </c>
      <c r="J59" s="109"/>
      <c r="K59" s="110"/>
      <c r="L59" s="41">
        <v>75000</v>
      </c>
      <c r="M59" s="7">
        <f t="shared" si="2"/>
        <v>525000</v>
      </c>
      <c r="N59" s="7" t="s">
        <v>416</v>
      </c>
    </row>
    <row r="60" spans="1:15" ht="15.6" x14ac:dyDescent="0.3">
      <c r="A60" s="36"/>
      <c r="B60" s="3"/>
      <c r="C60" s="56">
        <f t="shared" si="0"/>
        <v>-12995500</v>
      </c>
      <c r="D60" s="34"/>
      <c r="E60" s="67"/>
      <c r="F60" s="58"/>
      <c r="H60" s="92">
        <v>18</v>
      </c>
      <c r="I60" s="8">
        <v>45945</v>
      </c>
      <c r="J60" s="109"/>
      <c r="K60" s="110"/>
      <c r="L60" s="41">
        <v>75000</v>
      </c>
      <c r="M60" s="7">
        <f t="shared" si="2"/>
        <v>450000</v>
      </c>
      <c r="N60" s="7" t="s">
        <v>416</v>
      </c>
    </row>
    <row r="61" spans="1:15" ht="15.6" x14ac:dyDescent="0.3">
      <c r="A61" s="36"/>
      <c r="B61" s="3"/>
      <c r="C61" s="56">
        <f t="shared" si="0"/>
        <v>-12995500</v>
      </c>
      <c r="D61" s="34"/>
      <c r="E61" s="67"/>
      <c r="F61" s="58"/>
      <c r="H61" s="92">
        <v>19</v>
      </c>
      <c r="I61" s="103">
        <v>45976</v>
      </c>
      <c r="J61" s="109"/>
      <c r="K61" s="110"/>
      <c r="L61" s="41">
        <v>75000</v>
      </c>
      <c r="M61" s="7">
        <f t="shared" si="2"/>
        <v>375000</v>
      </c>
      <c r="N61" s="7" t="s">
        <v>416</v>
      </c>
    </row>
    <row r="62" spans="1:15" ht="15.6" x14ac:dyDescent="0.3">
      <c r="A62" s="36"/>
      <c r="B62" s="3"/>
      <c r="C62" s="56">
        <f t="shared" si="0"/>
        <v>-12995500</v>
      </c>
      <c r="D62" s="34"/>
      <c r="E62" s="67"/>
      <c r="F62" s="58"/>
      <c r="H62" s="92">
        <v>20</v>
      </c>
      <c r="I62" s="8">
        <v>46006</v>
      </c>
      <c r="J62" s="109"/>
      <c r="K62" s="110"/>
      <c r="L62" s="41">
        <v>75000</v>
      </c>
      <c r="M62" s="7">
        <f t="shared" si="2"/>
        <v>300000</v>
      </c>
      <c r="N62" s="7" t="s">
        <v>416</v>
      </c>
      <c r="O62" s="250"/>
    </row>
    <row r="63" spans="1:15" ht="15.6" x14ac:dyDescent="0.3">
      <c r="A63" s="36"/>
      <c r="B63" s="3"/>
      <c r="C63" s="56">
        <f t="shared" si="0"/>
        <v>-12995500</v>
      </c>
      <c r="D63" s="34"/>
      <c r="E63" s="67"/>
      <c r="F63" s="58"/>
      <c r="H63" s="92">
        <v>21</v>
      </c>
      <c r="I63" s="103">
        <v>46037</v>
      </c>
      <c r="J63" s="109"/>
      <c r="K63" s="110"/>
      <c r="L63" s="41">
        <v>75000</v>
      </c>
      <c r="M63" s="7">
        <f t="shared" si="2"/>
        <v>225000</v>
      </c>
      <c r="N63" s="7" t="s">
        <v>416</v>
      </c>
    </row>
    <row r="64" spans="1:15" ht="15.6" x14ac:dyDescent="0.3">
      <c r="A64" s="36"/>
      <c r="B64" s="3"/>
      <c r="C64" s="56">
        <f t="shared" si="0"/>
        <v>-12995500</v>
      </c>
      <c r="D64" s="34"/>
      <c r="E64" s="67"/>
      <c r="F64" s="58"/>
      <c r="H64" s="92">
        <v>22</v>
      </c>
      <c r="I64" s="8">
        <v>46068</v>
      </c>
      <c r="J64" s="109"/>
      <c r="K64" s="110"/>
      <c r="L64" s="41">
        <v>75000</v>
      </c>
      <c r="M64" s="7">
        <f t="shared" si="2"/>
        <v>150000</v>
      </c>
      <c r="N64" s="7" t="s">
        <v>416</v>
      </c>
    </row>
    <row r="65" spans="1:14" ht="15.6" x14ac:dyDescent="0.3">
      <c r="A65" s="36"/>
      <c r="B65" s="3"/>
      <c r="C65" s="56">
        <f t="shared" si="0"/>
        <v>-12995500</v>
      </c>
      <c r="D65" s="34"/>
      <c r="E65" s="67"/>
      <c r="F65" s="58"/>
      <c r="H65" s="92">
        <v>23</v>
      </c>
      <c r="I65" s="103">
        <v>46096</v>
      </c>
      <c r="J65" s="8"/>
      <c r="K65" s="41"/>
      <c r="L65" s="41"/>
      <c r="M65" s="7">
        <f t="shared" si="2"/>
        <v>150000</v>
      </c>
      <c r="N65" s="7"/>
    </row>
    <row r="66" spans="1:14" ht="15.6" x14ac:dyDescent="0.3">
      <c r="A66" s="36"/>
      <c r="B66" s="3"/>
      <c r="C66" s="56">
        <f t="shared" si="0"/>
        <v>-12995500</v>
      </c>
      <c r="D66" s="34"/>
      <c r="E66" s="67"/>
      <c r="F66" s="58"/>
      <c r="H66" s="92">
        <v>24</v>
      </c>
      <c r="I66" s="8">
        <v>46127</v>
      </c>
      <c r="J66" s="8"/>
      <c r="K66" s="41"/>
      <c r="L66" s="41"/>
      <c r="M66" s="7">
        <f>M65-L66</f>
        <v>150000</v>
      </c>
      <c r="N66" s="7"/>
    </row>
    <row r="67" spans="1:14" ht="15.6" x14ac:dyDescent="0.3">
      <c r="A67" s="36"/>
      <c r="B67" s="3"/>
      <c r="C67" s="56">
        <f t="shared" si="0"/>
        <v>-12995500</v>
      </c>
      <c r="D67" s="34"/>
      <c r="E67" s="67"/>
      <c r="F67" s="58"/>
      <c r="H67" s="92"/>
      <c r="I67" s="103"/>
      <c r="J67" s="8"/>
      <c r="K67" s="41"/>
      <c r="L67" s="41"/>
      <c r="M67" s="7">
        <f>M66-L67</f>
        <v>150000</v>
      </c>
      <c r="N67" s="7"/>
    </row>
    <row r="68" spans="1:14" ht="15.6" x14ac:dyDescent="0.3">
      <c r="A68" s="36"/>
      <c r="B68" s="3"/>
      <c r="C68" s="56">
        <f t="shared" si="0"/>
        <v>-12995500</v>
      </c>
      <c r="D68" s="34"/>
      <c r="E68" s="67"/>
      <c r="F68" s="58"/>
    </row>
    <row r="69" spans="1:14" ht="15.6" x14ac:dyDescent="0.3">
      <c r="A69" s="36"/>
      <c r="B69" s="3"/>
      <c r="C69" s="56">
        <f t="shared" si="0"/>
        <v>-12995500</v>
      </c>
      <c r="D69" s="34"/>
      <c r="E69" s="67"/>
      <c r="F69" s="58"/>
    </row>
    <row r="70" spans="1:14" ht="15.6" x14ac:dyDescent="0.3">
      <c r="A70" s="36"/>
      <c r="B70" s="3"/>
      <c r="C70" s="56">
        <f t="shared" si="0"/>
        <v>-12995500</v>
      </c>
      <c r="D70" s="34"/>
      <c r="E70" s="67"/>
      <c r="F70" s="58"/>
    </row>
    <row r="71" spans="1:14" ht="15.6" x14ac:dyDescent="0.3">
      <c r="A71" s="36"/>
      <c r="B71" s="3"/>
      <c r="C71" s="56">
        <f t="shared" si="0"/>
        <v>-12995500</v>
      </c>
      <c r="D71" s="34"/>
      <c r="E71" s="67"/>
      <c r="F71" s="58"/>
      <c r="H71" s="54"/>
      <c r="I71" s="54" t="s">
        <v>37</v>
      </c>
      <c r="J71" s="282" t="s">
        <v>417</v>
      </c>
      <c r="K71" s="282"/>
      <c r="L71" s="282"/>
      <c r="M71" s="191" t="s">
        <v>412</v>
      </c>
      <c r="N71" s="54" t="s">
        <v>87</v>
      </c>
    </row>
    <row r="72" spans="1:14" ht="15.6" x14ac:dyDescent="0.3">
      <c r="A72" s="36"/>
      <c r="B72" s="3"/>
      <c r="C72" s="56">
        <f t="shared" si="0"/>
        <v>-12995500</v>
      </c>
      <c r="D72" s="34"/>
      <c r="E72" s="67"/>
      <c r="F72" s="58"/>
      <c r="H72" s="7" t="s">
        <v>40</v>
      </c>
      <c r="I72" s="7" t="s">
        <v>6</v>
      </c>
      <c r="J72" s="7" t="s">
        <v>5</v>
      </c>
      <c r="K72" s="41" t="s">
        <v>41</v>
      </c>
      <c r="L72" s="41" t="s">
        <v>42</v>
      </c>
      <c r="M72" s="7" t="s">
        <v>43</v>
      </c>
      <c r="N72" s="7" t="s">
        <v>538</v>
      </c>
    </row>
    <row r="73" spans="1:14" ht="15.6" x14ac:dyDescent="0.3">
      <c r="A73" s="36"/>
      <c r="B73" s="3"/>
      <c r="C73" s="56">
        <f t="shared" ref="C73:C136" si="3">IF(A73&gt;0,C72+A73-B73,C72-B73)</f>
        <v>-12995500</v>
      </c>
      <c r="D73" s="34"/>
      <c r="E73" s="67"/>
      <c r="F73" s="58"/>
      <c r="H73" s="7"/>
      <c r="I73" s="8"/>
      <c r="J73" s="8" t="s">
        <v>413</v>
      </c>
      <c r="K73" s="41">
        <f>1125000+1175000+1610000</f>
        <v>3910000</v>
      </c>
      <c r="L73" s="41"/>
      <c r="M73" s="7">
        <f>K73-L73</f>
        <v>3910000</v>
      </c>
      <c r="N73" s="7"/>
    </row>
    <row r="74" spans="1:14" ht="15.6" x14ac:dyDescent="0.3">
      <c r="A74" s="36"/>
      <c r="B74" s="3"/>
      <c r="C74" s="56">
        <f t="shared" si="3"/>
        <v>-12995500</v>
      </c>
      <c r="D74" s="34"/>
      <c r="E74" s="67"/>
      <c r="F74" s="58"/>
      <c r="H74" s="7"/>
      <c r="I74" s="103"/>
      <c r="J74" s="103"/>
      <c r="K74" s="41"/>
      <c r="L74" s="41"/>
      <c r="M74" s="7">
        <f>M73-L74</f>
        <v>3910000</v>
      </c>
      <c r="N74" s="7"/>
    </row>
    <row r="75" spans="1:14" ht="15.6" x14ac:dyDescent="0.3">
      <c r="A75" s="36"/>
      <c r="B75" s="3"/>
      <c r="C75" s="56">
        <f t="shared" si="3"/>
        <v>-12995500</v>
      </c>
      <c r="D75" s="34"/>
      <c r="E75" s="67"/>
      <c r="F75" s="58"/>
      <c r="H75" s="7">
        <v>1</v>
      </c>
      <c r="I75" s="192">
        <v>45534</v>
      </c>
      <c r="J75" s="46"/>
      <c r="K75" s="47"/>
      <c r="L75" s="47">
        <v>150000</v>
      </c>
      <c r="M75" s="48">
        <f t="shared" ref="M75:M101" si="4">M74-L75</f>
        <v>3760000</v>
      </c>
      <c r="N75" s="48" t="s">
        <v>418</v>
      </c>
    </row>
    <row r="76" spans="1:14" ht="15.6" x14ac:dyDescent="0.3">
      <c r="A76" s="36"/>
      <c r="B76" s="3"/>
      <c r="C76" s="56">
        <f t="shared" si="3"/>
        <v>-12995500</v>
      </c>
      <c r="D76" s="34"/>
      <c r="E76" s="67"/>
      <c r="F76" s="58"/>
      <c r="H76" s="7">
        <v>2</v>
      </c>
      <c r="I76" s="8">
        <v>45565</v>
      </c>
      <c r="J76" s="8"/>
      <c r="K76" s="41"/>
      <c r="L76" s="49">
        <v>150000</v>
      </c>
      <c r="M76" s="7">
        <f t="shared" si="4"/>
        <v>3610000</v>
      </c>
      <c r="N76" s="7" t="s">
        <v>136</v>
      </c>
    </row>
    <row r="77" spans="1:14" ht="15.6" x14ac:dyDescent="0.3">
      <c r="A77" s="36"/>
      <c r="B77" s="3"/>
      <c r="C77" s="56">
        <f t="shared" si="3"/>
        <v>-12995500</v>
      </c>
      <c r="D77" s="34"/>
      <c r="E77" s="67"/>
      <c r="F77" s="58"/>
      <c r="H77" s="7">
        <v>3</v>
      </c>
      <c r="I77" s="103">
        <v>45595</v>
      </c>
      <c r="J77" s="8"/>
      <c r="K77" s="41"/>
      <c r="L77" s="49">
        <v>150000</v>
      </c>
      <c r="M77" s="7">
        <f t="shared" si="4"/>
        <v>3460000</v>
      </c>
      <c r="N77" s="7" t="s">
        <v>136</v>
      </c>
    </row>
    <row r="78" spans="1:14" ht="15.6" x14ac:dyDescent="0.3">
      <c r="A78" s="36"/>
      <c r="B78" s="3"/>
      <c r="C78" s="56">
        <f t="shared" si="3"/>
        <v>-12995500</v>
      </c>
      <c r="D78" s="34"/>
      <c r="E78" s="67"/>
      <c r="F78" s="58"/>
      <c r="H78" s="7">
        <v>4</v>
      </c>
      <c r="I78" s="8">
        <v>45626</v>
      </c>
      <c r="J78" s="8"/>
      <c r="K78" s="41"/>
      <c r="L78" s="49">
        <v>150000</v>
      </c>
      <c r="M78" s="7">
        <f t="shared" si="4"/>
        <v>3310000</v>
      </c>
      <c r="N78" s="7" t="s">
        <v>136</v>
      </c>
    </row>
    <row r="79" spans="1:14" ht="15.6" x14ac:dyDescent="0.3">
      <c r="A79" s="36"/>
      <c r="B79" s="3"/>
      <c r="C79" s="56">
        <f t="shared" si="3"/>
        <v>-12995500</v>
      </c>
      <c r="D79" s="34"/>
      <c r="E79" s="67"/>
      <c r="F79" s="58"/>
      <c r="H79" s="7">
        <v>5</v>
      </c>
      <c r="I79" s="103">
        <v>45656</v>
      </c>
      <c r="J79" s="8"/>
      <c r="K79" s="41"/>
      <c r="L79" s="42">
        <v>150000</v>
      </c>
      <c r="M79" s="7">
        <f t="shared" si="4"/>
        <v>3160000</v>
      </c>
      <c r="N79" s="7" t="s">
        <v>136</v>
      </c>
    </row>
    <row r="80" spans="1:14" ht="15.6" x14ac:dyDescent="0.3">
      <c r="A80" s="36"/>
      <c r="B80" s="3"/>
      <c r="C80" s="56">
        <f t="shared" si="3"/>
        <v>-12995500</v>
      </c>
      <c r="D80" s="34"/>
      <c r="E80" s="67"/>
      <c r="F80" s="58"/>
      <c r="H80" s="7">
        <v>6</v>
      </c>
      <c r="I80" s="50">
        <v>45687</v>
      </c>
      <c r="J80" s="8"/>
      <c r="K80" s="41"/>
      <c r="L80" s="41">
        <v>150000</v>
      </c>
      <c r="M80" s="87">
        <f t="shared" si="4"/>
        <v>3010000</v>
      </c>
      <c r="N80" s="87"/>
    </row>
    <row r="81" spans="1:14" ht="15.6" x14ac:dyDescent="0.3">
      <c r="A81" s="36"/>
      <c r="B81" s="3"/>
      <c r="C81" s="56">
        <f t="shared" si="3"/>
        <v>-12995500</v>
      </c>
      <c r="D81" s="34"/>
      <c r="E81" s="67"/>
      <c r="F81" s="58"/>
      <c r="H81" s="7">
        <v>7</v>
      </c>
      <c r="I81" s="50">
        <v>45687</v>
      </c>
      <c r="J81" s="8"/>
      <c r="K81" s="41"/>
      <c r="L81" s="41">
        <v>80000</v>
      </c>
      <c r="M81" s="87">
        <f t="shared" si="4"/>
        <v>2930000</v>
      </c>
      <c r="N81" s="87"/>
    </row>
    <row r="82" spans="1:14" ht="15.6" x14ac:dyDescent="0.3">
      <c r="A82" s="36"/>
      <c r="B82" s="3"/>
      <c r="C82" s="56">
        <f t="shared" si="3"/>
        <v>-12995500</v>
      </c>
      <c r="D82" s="34"/>
      <c r="E82" s="67"/>
      <c r="F82" s="58"/>
      <c r="H82" s="7">
        <v>8</v>
      </c>
      <c r="I82" s="50">
        <v>45716</v>
      </c>
      <c r="J82" s="8"/>
      <c r="K82" s="41"/>
      <c r="L82" s="41">
        <v>80000</v>
      </c>
      <c r="M82" s="87">
        <f t="shared" si="4"/>
        <v>2850000</v>
      </c>
      <c r="N82" s="87"/>
    </row>
    <row r="83" spans="1:14" ht="15.6" x14ac:dyDescent="0.3">
      <c r="A83" s="36"/>
      <c r="B83" s="3"/>
      <c r="C83" s="56">
        <f t="shared" si="3"/>
        <v>-12995500</v>
      </c>
      <c r="D83" s="34"/>
      <c r="E83" s="67"/>
      <c r="F83" s="58"/>
      <c r="H83" s="7">
        <v>9</v>
      </c>
      <c r="I83" s="50">
        <v>45716</v>
      </c>
      <c r="J83" s="8"/>
      <c r="K83" s="41"/>
      <c r="L83" s="41">
        <v>150000</v>
      </c>
      <c r="M83" s="87">
        <f t="shared" si="4"/>
        <v>2700000</v>
      </c>
      <c r="N83" s="87" t="s">
        <v>419</v>
      </c>
    </row>
    <row r="84" spans="1:14" ht="15.6" x14ac:dyDescent="0.3">
      <c r="A84" s="36"/>
      <c r="B84" s="3"/>
      <c r="C84" s="56">
        <f t="shared" si="3"/>
        <v>-12995500</v>
      </c>
      <c r="D84" s="34"/>
      <c r="E84" s="67"/>
      <c r="F84" s="58"/>
      <c r="H84" s="7">
        <v>10</v>
      </c>
      <c r="I84" s="103">
        <v>45746</v>
      </c>
      <c r="J84" s="8"/>
      <c r="K84" s="41"/>
      <c r="L84" s="41">
        <v>150000</v>
      </c>
      <c r="M84" s="87">
        <f t="shared" si="4"/>
        <v>2550000</v>
      </c>
      <c r="N84" s="87"/>
    </row>
    <row r="85" spans="1:14" ht="15.6" x14ac:dyDescent="0.3">
      <c r="A85" s="36"/>
      <c r="B85" s="3"/>
      <c r="C85" s="56">
        <f t="shared" si="3"/>
        <v>-12995500</v>
      </c>
      <c r="D85" s="34"/>
      <c r="E85" s="67"/>
      <c r="F85" s="58"/>
      <c r="H85" s="7">
        <v>11</v>
      </c>
      <c r="I85" s="8">
        <v>45777</v>
      </c>
      <c r="J85" s="8"/>
      <c r="K85" s="41"/>
      <c r="L85" s="41">
        <v>150000</v>
      </c>
      <c r="M85" s="87">
        <f t="shared" si="4"/>
        <v>2400000</v>
      </c>
      <c r="N85" s="87"/>
    </row>
    <row r="86" spans="1:14" ht="15.6" x14ac:dyDescent="0.3">
      <c r="A86" s="36"/>
      <c r="B86" s="3"/>
      <c r="C86" s="56">
        <f t="shared" si="3"/>
        <v>-12995500</v>
      </c>
      <c r="D86" s="34"/>
      <c r="E86" s="67"/>
      <c r="F86" s="58"/>
      <c r="H86" s="7">
        <v>12</v>
      </c>
      <c r="I86" s="103">
        <v>45807</v>
      </c>
      <c r="J86" s="8"/>
      <c r="K86" s="41"/>
      <c r="L86" s="41">
        <v>150000</v>
      </c>
      <c r="M86" s="87">
        <f t="shared" si="4"/>
        <v>2250000</v>
      </c>
      <c r="N86" s="87"/>
    </row>
    <row r="87" spans="1:14" ht="15.6" x14ac:dyDescent="0.3">
      <c r="A87" s="36"/>
      <c r="B87" s="3"/>
      <c r="C87" s="56">
        <f t="shared" si="3"/>
        <v>-12995500</v>
      </c>
      <c r="D87" s="34"/>
      <c r="E87" s="67"/>
      <c r="F87" s="58"/>
      <c r="H87" s="7">
        <v>13</v>
      </c>
      <c r="I87" s="8">
        <v>45838</v>
      </c>
      <c r="J87" s="109"/>
      <c r="K87" s="110"/>
      <c r="L87" s="41">
        <v>150000</v>
      </c>
      <c r="M87" s="7">
        <f t="shared" si="4"/>
        <v>2100000</v>
      </c>
      <c r="N87" s="87"/>
    </row>
    <row r="88" spans="1:14" ht="15.6" x14ac:dyDescent="0.3">
      <c r="A88" s="36"/>
      <c r="B88" s="3"/>
      <c r="C88" s="56">
        <f t="shared" si="3"/>
        <v>-12995500</v>
      </c>
      <c r="D88" s="34"/>
      <c r="E88" s="67"/>
      <c r="F88" s="58"/>
      <c r="H88" s="7">
        <v>14</v>
      </c>
      <c r="I88" s="103">
        <v>45868</v>
      </c>
      <c r="J88" s="109"/>
      <c r="K88" s="110"/>
      <c r="L88" s="41">
        <v>150000</v>
      </c>
      <c r="M88" s="7">
        <f t="shared" si="4"/>
        <v>1950000</v>
      </c>
      <c r="N88" s="7"/>
    </row>
    <row r="89" spans="1:14" ht="15.6" x14ac:dyDescent="0.3">
      <c r="A89" s="36"/>
      <c r="B89" s="3"/>
      <c r="C89" s="56">
        <f t="shared" si="3"/>
        <v>-12995500</v>
      </c>
      <c r="D89" s="34"/>
      <c r="E89" s="67"/>
      <c r="F89" s="58"/>
      <c r="H89" s="7">
        <v>15</v>
      </c>
      <c r="I89" s="8">
        <v>45899</v>
      </c>
      <c r="J89" s="109"/>
      <c r="K89" s="110"/>
      <c r="L89" s="41">
        <v>150000</v>
      </c>
      <c r="M89" s="7">
        <f t="shared" si="4"/>
        <v>1800000</v>
      </c>
      <c r="N89" s="87" t="s">
        <v>420</v>
      </c>
    </row>
    <row r="90" spans="1:14" ht="15.6" x14ac:dyDescent="0.3">
      <c r="A90" s="36"/>
      <c r="B90" s="3"/>
      <c r="C90" s="56">
        <f t="shared" si="3"/>
        <v>-12995500</v>
      </c>
      <c r="D90" s="34"/>
      <c r="E90" s="67"/>
      <c r="F90" s="58"/>
      <c r="H90" s="7">
        <v>16</v>
      </c>
      <c r="I90" s="103">
        <v>45930</v>
      </c>
      <c r="J90" s="109"/>
      <c r="K90" s="110"/>
      <c r="L90" s="41">
        <v>150000</v>
      </c>
      <c r="M90" s="7">
        <f t="shared" si="4"/>
        <v>1650000</v>
      </c>
      <c r="N90" s="87" t="s">
        <v>420</v>
      </c>
    </row>
    <row r="91" spans="1:14" ht="15.6" x14ac:dyDescent="0.3">
      <c r="A91" s="36"/>
      <c r="B91" s="3"/>
      <c r="C91" s="56">
        <f t="shared" si="3"/>
        <v>-12995500</v>
      </c>
      <c r="D91" s="34"/>
      <c r="E91" s="67"/>
      <c r="F91" s="58"/>
      <c r="H91" s="7">
        <v>17</v>
      </c>
      <c r="I91" s="8">
        <v>45960</v>
      </c>
      <c r="J91" s="109"/>
      <c r="K91" s="110"/>
      <c r="L91" s="41">
        <v>150000</v>
      </c>
      <c r="M91" s="7">
        <f t="shared" si="4"/>
        <v>1500000</v>
      </c>
      <c r="N91" s="87" t="s">
        <v>420</v>
      </c>
    </row>
    <row r="92" spans="1:14" ht="15.6" x14ac:dyDescent="0.3">
      <c r="A92" s="36"/>
      <c r="B92" s="3"/>
      <c r="C92" s="56">
        <f t="shared" si="3"/>
        <v>-12995500</v>
      </c>
      <c r="D92" s="34"/>
      <c r="E92" s="67"/>
      <c r="F92" s="58"/>
      <c r="H92" s="7">
        <v>18</v>
      </c>
      <c r="I92" s="103">
        <v>45991</v>
      </c>
      <c r="J92" s="109"/>
      <c r="K92" s="110"/>
      <c r="L92" s="41">
        <v>150000</v>
      </c>
      <c r="M92" s="7">
        <f t="shared" si="4"/>
        <v>1350000</v>
      </c>
      <c r="N92" s="87" t="s">
        <v>420</v>
      </c>
    </row>
    <row r="93" spans="1:14" ht="15.6" x14ac:dyDescent="0.3">
      <c r="A93" s="36"/>
      <c r="B93" s="3"/>
      <c r="C93" s="56">
        <f t="shared" si="3"/>
        <v>-12995500</v>
      </c>
      <c r="D93" s="34"/>
      <c r="E93" s="67"/>
      <c r="F93" s="58"/>
      <c r="H93" s="7">
        <v>19</v>
      </c>
      <c r="I93" s="8">
        <v>46021</v>
      </c>
      <c r="J93" s="109"/>
      <c r="K93" s="110"/>
      <c r="L93" s="41">
        <v>150000</v>
      </c>
      <c r="M93" s="7">
        <f t="shared" si="4"/>
        <v>1200000</v>
      </c>
      <c r="N93" s="87" t="s">
        <v>420</v>
      </c>
    </row>
    <row r="94" spans="1:14" ht="15.6" x14ac:dyDescent="0.3">
      <c r="A94" s="36"/>
      <c r="B94" s="3"/>
      <c r="C94" s="56">
        <f t="shared" si="3"/>
        <v>-12995500</v>
      </c>
      <c r="D94" s="34"/>
      <c r="E94" s="67"/>
      <c r="F94" s="58"/>
      <c r="H94" s="7">
        <v>20</v>
      </c>
      <c r="I94" s="103">
        <v>46052</v>
      </c>
      <c r="J94" s="109"/>
      <c r="K94" s="110"/>
      <c r="L94" s="41">
        <v>150000</v>
      </c>
      <c r="M94" s="7">
        <f t="shared" si="4"/>
        <v>1050000</v>
      </c>
      <c r="N94" s="87" t="s">
        <v>420</v>
      </c>
    </row>
    <row r="95" spans="1:14" ht="15.6" x14ac:dyDescent="0.3">
      <c r="A95" s="36"/>
      <c r="B95" s="3"/>
      <c r="C95" s="56">
        <f t="shared" si="3"/>
        <v>-12995500</v>
      </c>
      <c r="D95" s="34"/>
      <c r="E95" s="67"/>
      <c r="F95" s="58"/>
      <c r="H95" s="7">
        <v>21</v>
      </c>
      <c r="I95" s="8">
        <v>46081</v>
      </c>
      <c r="J95" s="109"/>
      <c r="K95" s="110"/>
      <c r="L95" s="41"/>
      <c r="M95" s="7">
        <f t="shared" si="4"/>
        <v>1050000</v>
      </c>
      <c r="N95" s="7"/>
    </row>
    <row r="96" spans="1:14" ht="15.6" x14ac:dyDescent="0.3">
      <c r="A96" s="36"/>
      <c r="B96" s="3"/>
      <c r="C96" s="56">
        <f t="shared" si="3"/>
        <v>-12995500</v>
      </c>
      <c r="D96" s="34"/>
      <c r="E96" s="67"/>
      <c r="F96" s="58"/>
      <c r="H96" s="7">
        <v>22</v>
      </c>
      <c r="I96" s="103">
        <v>46111</v>
      </c>
      <c r="J96" s="109"/>
      <c r="K96" s="110"/>
      <c r="L96" s="41"/>
      <c r="M96" s="7">
        <f t="shared" si="4"/>
        <v>1050000</v>
      </c>
      <c r="N96" s="7"/>
    </row>
    <row r="97" spans="1:14" ht="15.6" x14ac:dyDescent="0.3">
      <c r="A97" s="36"/>
      <c r="B97" s="3"/>
      <c r="C97" s="56">
        <f t="shared" si="3"/>
        <v>-12995500</v>
      </c>
      <c r="D97" s="34"/>
      <c r="E97" s="67"/>
      <c r="F97" s="58"/>
      <c r="H97" s="7">
        <v>23</v>
      </c>
      <c r="I97" s="8">
        <v>46142</v>
      </c>
      <c r="J97" s="109"/>
      <c r="K97" s="110"/>
      <c r="L97" s="41"/>
      <c r="M97" s="7">
        <f t="shared" si="4"/>
        <v>1050000</v>
      </c>
      <c r="N97" s="7"/>
    </row>
    <row r="98" spans="1:14" ht="15.6" x14ac:dyDescent="0.3">
      <c r="A98" s="36"/>
      <c r="B98" s="3"/>
      <c r="C98" s="56">
        <f t="shared" si="3"/>
        <v>-12995500</v>
      </c>
      <c r="D98" s="34"/>
      <c r="E98" s="67"/>
      <c r="F98" s="58"/>
      <c r="H98" s="7">
        <v>24</v>
      </c>
      <c r="I98" s="103">
        <v>46172</v>
      </c>
      <c r="J98" s="109"/>
      <c r="K98" s="110"/>
      <c r="L98" s="41"/>
      <c r="M98" s="7">
        <f t="shared" si="4"/>
        <v>1050000</v>
      </c>
      <c r="N98" s="7"/>
    </row>
    <row r="99" spans="1:14" ht="15.6" x14ac:dyDescent="0.3">
      <c r="A99" s="36"/>
      <c r="B99" s="3"/>
      <c r="C99" s="56">
        <f t="shared" si="3"/>
        <v>-12995500</v>
      </c>
      <c r="D99" s="34"/>
      <c r="E99" s="67"/>
      <c r="F99" s="58"/>
      <c r="H99" s="7">
        <v>25</v>
      </c>
      <c r="I99" s="8">
        <v>46203</v>
      </c>
      <c r="J99" s="109"/>
      <c r="K99" s="110"/>
      <c r="L99" s="41"/>
      <c r="M99" s="7">
        <f t="shared" si="4"/>
        <v>1050000</v>
      </c>
      <c r="N99" s="7"/>
    </row>
    <row r="100" spans="1:14" ht="15.6" x14ac:dyDescent="0.3">
      <c r="A100" s="36"/>
      <c r="B100" s="3"/>
      <c r="C100" s="56">
        <f t="shared" si="3"/>
        <v>-12995500</v>
      </c>
      <c r="D100" s="34"/>
      <c r="E100" s="67"/>
      <c r="F100" s="58"/>
      <c r="H100" s="7">
        <v>26</v>
      </c>
      <c r="I100" s="103">
        <v>46233</v>
      </c>
      <c r="J100" s="109"/>
      <c r="K100" s="110"/>
      <c r="L100" s="41"/>
      <c r="M100" s="7">
        <f t="shared" si="4"/>
        <v>1050000</v>
      </c>
      <c r="N100" s="7"/>
    </row>
    <row r="101" spans="1:14" ht="15.6" x14ac:dyDescent="0.3">
      <c r="A101" s="36"/>
      <c r="B101" s="3"/>
      <c r="C101" s="56">
        <f t="shared" si="3"/>
        <v>-12995500</v>
      </c>
      <c r="D101" s="34"/>
      <c r="E101" s="67"/>
      <c r="F101" s="58"/>
      <c r="H101" s="7">
        <v>27</v>
      </c>
      <c r="I101" s="8">
        <v>46264</v>
      </c>
      <c r="J101" s="109"/>
      <c r="K101" s="110"/>
      <c r="L101" s="41"/>
      <c r="M101" s="7">
        <f t="shared" si="4"/>
        <v>1050000</v>
      </c>
      <c r="N101" s="7"/>
    </row>
    <row r="102" spans="1:14" ht="15.6" x14ac:dyDescent="0.3">
      <c r="A102" s="36"/>
      <c r="B102" s="3"/>
      <c r="C102" s="56">
        <f t="shared" si="3"/>
        <v>-12995500</v>
      </c>
      <c r="D102" s="34"/>
      <c r="E102" s="67"/>
      <c r="F102" s="58"/>
      <c r="H102" s="7"/>
      <c r="I102" s="103"/>
      <c r="J102" s="8"/>
      <c r="K102" s="41"/>
      <c r="L102" s="41"/>
      <c r="M102" s="7"/>
      <c r="N102" s="7"/>
    </row>
    <row r="103" spans="1:14" ht="15.6" x14ac:dyDescent="0.3">
      <c r="A103" s="36"/>
      <c r="B103" s="3"/>
      <c r="C103" s="56">
        <f t="shared" si="3"/>
        <v>-12995500</v>
      </c>
      <c r="D103" s="34"/>
      <c r="E103" s="67"/>
      <c r="F103" s="58"/>
    </row>
    <row r="104" spans="1:14" ht="15.6" x14ac:dyDescent="0.3">
      <c r="A104" s="36"/>
      <c r="B104" s="3"/>
      <c r="C104" s="56">
        <f t="shared" si="3"/>
        <v>-12995500</v>
      </c>
      <c r="D104" s="34"/>
      <c r="E104" s="67"/>
      <c r="F104" s="58"/>
    </row>
    <row r="105" spans="1:14" ht="15.6" x14ac:dyDescent="0.3">
      <c r="A105" s="36"/>
      <c r="B105" s="3"/>
      <c r="C105" s="56">
        <f t="shared" si="3"/>
        <v>-12995500</v>
      </c>
      <c r="D105" s="34"/>
      <c r="E105" s="67"/>
      <c r="F105" s="58"/>
    </row>
    <row r="106" spans="1:14" ht="15.6" x14ac:dyDescent="0.3">
      <c r="A106" s="36"/>
      <c r="B106" s="3"/>
      <c r="C106" s="56">
        <f t="shared" si="3"/>
        <v>-12995500</v>
      </c>
      <c r="D106" s="34"/>
      <c r="E106" s="67"/>
      <c r="F106" s="58"/>
      <c r="H106" s="54"/>
      <c r="I106" s="54" t="s">
        <v>37</v>
      </c>
      <c r="J106" s="282" t="s">
        <v>421</v>
      </c>
      <c r="K106" s="282"/>
      <c r="L106" s="282"/>
      <c r="M106" s="191" t="s">
        <v>422</v>
      </c>
      <c r="N106" s="54" t="s">
        <v>423</v>
      </c>
    </row>
    <row r="107" spans="1:14" ht="15.6" x14ac:dyDescent="0.3">
      <c r="A107" s="36"/>
      <c r="B107" s="36"/>
      <c r="C107" s="56">
        <f t="shared" si="3"/>
        <v>-12995500</v>
      </c>
      <c r="D107" s="34"/>
      <c r="E107" s="67"/>
      <c r="F107" s="58"/>
      <c r="H107" s="7" t="s">
        <v>40</v>
      </c>
      <c r="I107" s="7" t="s">
        <v>6</v>
      </c>
      <c r="J107" s="7" t="s">
        <v>5</v>
      </c>
      <c r="K107" s="41" t="s">
        <v>41</v>
      </c>
      <c r="L107" s="41" t="s">
        <v>42</v>
      </c>
      <c r="M107" s="7" t="s">
        <v>43</v>
      </c>
      <c r="N107" s="7" t="s">
        <v>538</v>
      </c>
    </row>
    <row r="108" spans="1:14" ht="15.6" x14ac:dyDescent="0.3">
      <c r="A108" s="36"/>
      <c r="B108" s="36"/>
      <c r="C108" s="56">
        <f t="shared" si="3"/>
        <v>-12995500</v>
      </c>
      <c r="D108" s="34"/>
      <c r="E108" s="67"/>
      <c r="F108" s="58"/>
      <c r="H108" s="7"/>
      <c r="I108" s="8"/>
      <c r="J108" s="8" t="s">
        <v>413</v>
      </c>
      <c r="K108" s="41">
        <v>2000000</v>
      </c>
      <c r="L108" s="41"/>
      <c r="M108" s="7">
        <f>K108-L108</f>
        <v>2000000</v>
      </c>
      <c r="N108" s="7" t="s">
        <v>424</v>
      </c>
    </row>
    <row r="109" spans="1:14" ht="15.6" x14ac:dyDescent="0.3">
      <c r="A109" s="36"/>
      <c r="B109" s="36"/>
      <c r="C109" s="56">
        <f t="shared" si="3"/>
        <v>-12995500</v>
      </c>
      <c r="D109" s="34"/>
      <c r="E109" s="67"/>
      <c r="F109" s="7"/>
      <c r="H109" s="7"/>
      <c r="I109" s="103"/>
      <c r="J109" s="103"/>
      <c r="K109" s="41"/>
      <c r="L109" s="41"/>
      <c r="M109" s="7">
        <f>M108-L109</f>
        <v>2000000</v>
      </c>
      <c r="N109" s="7"/>
    </row>
    <row r="110" spans="1:14" ht="15.6" x14ac:dyDescent="0.3">
      <c r="A110" s="36"/>
      <c r="B110" s="36"/>
      <c r="C110" s="56">
        <f t="shared" si="3"/>
        <v>-12995500</v>
      </c>
      <c r="D110" s="34"/>
      <c r="E110" s="67"/>
      <c r="F110" s="7"/>
      <c r="H110" s="7">
        <v>1</v>
      </c>
      <c r="I110" s="103">
        <v>45565</v>
      </c>
      <c r="J110" s="8"/>
      <c r="K110" s="41"/>
      <c r="L110" s="41">
        <v>80000</v>
      </c>
      <c r="M110" s="7">
        <f t="shared" ref="M110:M135" si="5">M109-L110</f>
        <v>1920000</v>
      </c>
      <c r="N110" s="7" t="s">
        <v>136</v>
      </c>
    </row>
    <row r="111" spans="1:14" ht="15.6" x14ac:dyDescent="0.3">
      <c r="A111" s="36"/>
      <c r="B111" s="36"/>
      <c r="C111" s="56">
        <f t="shared" si="3"/>
        <v>-12995500</v>
      </c>
      <c r="D111" s="34"/>
      <c r="E111" s="67"/>
      <c r="F111" s="7"/>
      <c r="H111" s="7">
        <v>2</v>
      </c>
      <c r="I111" s="8">
        <v>45595</v>
      </c>
      <c r="J111" s="8"/>
      <c r="K111" s="41"/>
      <c r="L111" s="41">
        <v>80000</v>
      </c>
      <c r="M111" s="7">
        <f t="shared" si="5"/>
        <v>1840000</v>
      </c>
      <c r="N111" s="7" t="s">
        <v>136</v>
      </c>
    </row>
    <row r="112" spans="1:14" ht="15.6" x14ac:dyDescent="0.3">
      <c r="A112" s="36"/>
      <c r="B112" s="36"/>
      <c r="C112" s="56">
        <f t="shared" si="3"/>
        <v>-12995500</v>
      </c>
      <c r="D112" s="34"/>
      <c r="E112" s="67"/>
      <c r="F112" s="7"/>
      <c r="H112" s="7">
        <v>3</v>
      </c>
      <c r="I112" s="103">
        <v>45626</v>
      </c>
      <c r="J112" s="8"/>
      <c r="K112" s="41"/>
      <c r="L112" s="41">
        <v>80000</v>
      </c>
      <c r="M112" s="7">
        <f t="shared" si="5"/>
        <v>1760000</v>
      </c>
      <c r="N112" s="7" t="s">
        <v>136</v>
      </c>
    </row>
    <row r="113" spans="1:14" ht="15.6" x14ac:dyDescent="0.3">
      <c r="A113" s="36"/>
      <c r="B113" s="3"/>
      <c r="C113" s="56">
        <f t="shared" si="3"/>
        <v>-12995500</v>
      </c>
      <c r="D113" s="34"/>
      <c r="E113" s="67"/>
      <c r="F113" s="7"/>
      <c r="H113" s="7">
        <v>4</v>
      </c>
      <c r="I113" s="103">
        <v>45656</v>
      </c>
      <c r="J113" s="8"/>
      <c r="K113" s="41"/>
      <c r="L113" s="42">
        <v>80000</v>
      </c>
      <c r="M113" s="7">
        <f t="shared" si="5"/>
        <v>1680000</v>
      </c>
      <c r="N113" s="7" t="s">
        <v>136</v>
      </c>
    </row>
    <row r="114" spans="1:14" ht="15.6" x14ac:dyDescent="0.3">
      <c r="A114" s="36"/>
      <c r="B114" s="3"/>
      <c r="C114" s="56">
        <f t="shared" si="3"/>
        <v>-12995500</v>
      </c>
      <c r="D114" s="34"/>
      <c r="E114" s="67"/>
      <c r="F114" s="7"/>
      <c r="H114" s="7">
        <v>5</v>
      </c>
      <c r="I114" s="8">
        <v>45687</v>
      </c>
      <c r="J114" s="8"/>
      <c r="K114" s="41"/>
      <c r="L114" s="41">
        <v>80000</v>
      </c>
      <c r="M114" s="7">
        <f t="shared" si="5"/>
        <v>1600000</v>
      </c>
      <c r="N114" s="7" t="s">
        <v>425</v>
      </c>
    </row>
    <row r="115" spans="1:14" ht="15.6" x14ac:dyDescent="0.3">
      <c r="A115" s="36"/>
      <c r="B115" s="3"/>
      <c r="C115" s="56">
        <f t="shared" si="3"/>
        <v>-12995500</v>
      </c>
      <c r="D115" s="34"/>
      <c r="E115" s="67"/>
      <c r="F115" s="7"/>
      <c r="H115" s="7">
        <v>6</v>
      </c>
      <c r="I115" s="103">
        <v>45716</v>
      </c>
      <c r="J115" s="8"/>
      <c r="K115" s="41"/>
      <c r="L115" s="41">
        <v>80000</v>
      </c>
      <c r="M115" s="7">
        <f t="shared" si="5"/>
        <v>1520000</v>
      </c>
      <c r="N115" s="7" t="s">
        <v>426</v>
      </c>
    </row>
    <row r="116" spans="1:14" ht="15.6" x14ac:dyDescent="0.3">
      <c r="A116" s="3"/>
      <c r="B116" s="3"/>
      <c r="C116" s="56">
        <f t="shared" si="3"/>
        <v>-12995500</v>
      </c>
      <c r="D116" s="7"/>
      <c r="E116" s="8"/>
      <c r="F116" s="7"/>
      <c r="H116" s="7">
        <v>7</v>
      </c>
      <c r="I116" s="103">
        <v>45746</v>
      </c>
      <c r="J116" s="8"/>
      <c r="K116" s="41"/>
      <c r="L116" s="41">
        <v>80000</v>
      </c>
      <c r="M116" s="7">
        <f t="shared" si="5"/>
        <v>1440000</v>
      </c>
      <c r="N116" s="7"/>
    </row>
    <row r="117" spans="1:14" ht="15.6" x14ac:dyDescent="0.3">
      <c r="A117" s="3"/>
      <c r="B117" s="3"/>
      <c r="C117" s="56">
        <f t="shared" si="3"/>
        <v>-12995500</v>
      </c>
      <c r="D117" s="7"/>
      <c r="E117" s="8"/>
      <c r="F117" s="7"/>
      <c r="H117" s="7">
        <v>8</v>
      </c>
      <c r="I117" s="8">
        <v>45777</v>
      </c>
      <c r="J117" s="8"/>
      <c r="K117" s="41"/>
      <c r="L117" s="41">
        <v>80000</v>
      </c>
      <c r="M117" s="7">
        <f t="shared" si="5"/>
        <v>1360000</v>
      </c>
      <c r="N117" s="101"/>
    </row>
    <row r="118" spans="1:14" ht="15.6" x14ac:dyDescent="0.3">
      <c r="A118" s="34"/>
      <c r="B118" s="3"/>
      <c r="C118" s="56">
        <f t="shared" si="3"/>
        <v>-12995500</v>
      </c>
      <c r="D118" s="34"/>
      <c r="E118" s="35"/>
      <c r="F118" s="7"/>
      <c r="H118" s="7">
        <v>9</v>
      </c>
      <c r="I118" s="103">
        <v>45807</v>
      </c>
      <c r="J118" s="8"/>
      <c r="K118" s="41"/>
      <c r="L118" s="41">
        <v>80000</v>
      </c>
      <c r="M118" s="7">
        <f t="shared" si="5"/>
        <v>1280000</v>
      </c>
      <c r="N118" s="101"/>
    </row>
    <row r="119" spans="1:14" ht="15.6" x14ac:dyDescent="0.3">
      <c r="A119" s="34"/>
      <c r="B119" s="3"/>
      <c r="C119" s="56">
        <f t="shared" si="3"/>
        <v>-12995500</v>
      </c>
      <c r="D119" s="34"/>
      <c r="E119" s="35"/>
      <c r="F119" s="7"/>
      <c r="H119" s="7">
        <v>10</v>
      </c>
      <c r="I119" s="103">
        <v>45838</v>
      </c>
      <c r="J119" s="8"/>
      <c r="K119" s="41"/>
      <c r="L119" s="41">
        <v>80000</v>
      </c>
      <c r="M119" s="7">
        <f t="shared" si="5"/>
        <v>1200000</v>
      </c>
      <c r="N119" s="101"/>
    </row>
    <row r="120" spans="1:14" ht="15.6" x14ac:dyDescent="0.3">
      <c r="A120" s="34"/>
      <c r="B120" s="3"/>
      <c r="C120" s="56">
        <f t="shared" si="3"/>
        <v>-12995500</v>
      </c>
      <c r="D120" s="34"/>
      <c r="E120" s="35"/>
      <c r="F120" s="7"/>
      <c r="H120" s="7">
        <v>11</v>
      </c>
      <c r="I120" s="8">
        <v>45868</v>
      </c>
      <c r="J120" s="8"/>
      <c r="K120" s="41"/>
      <c r="L120" s="41">
        <v>80000</v>
      </c>
      <c r="M120" s="7">
        <f t="shared" si="5"/>
        <v>1120000</v>
      </c>
      <c r="N120" s="195"/>
    </row>
    <row r="121" spans="1:14" ht="15.6" x14ac:dyDescent="0.3">
      <c r="A121" s="34"/>
      <c r="B121" s="3"/>
      <c r="C121" s="56">
        <f t="shared" si="3"/>
        <v>-12995500</v>
      </c>
      <c r="D121" s="34"/>
      <c r="E121" s="35"/>
      <c r="F121" s="7"/>
      <c r="H121" s="7">
        <v>12</v>
      </c>
      <c r="I121" s="103">
        <v>45899</v>
      </c>
      <c r="J121" s="109"/>
      <c r="K121" s="110"/>
      <c r="L121" s="41">
        <v>80000</v>
      </c>
      <c r="M121" s="7">
        <f t="shared" si="5"/>
        <v>1040000</v>
      </c>
      <c r="N121" s="195"/>
    </row>
    <row r="122" spans="1:14" ht="15.6" x14ac:dyDescent="0.3">
      <c r="A122" s="34"/>
      <c r="B122" s="3"/>
      <c r="C122" s="56">
        <f t="shared" si="3"/>
        <v>-12995500</v>
      </c>
      <c r="D122" s="34"/>
      <c r="E122" s="35"/>
      <c r="F122" s="7"/>
      <c r="H122" s="7">
        <v>13</v>
      </c>
      <c r="I122" s="103">
        <v>45930</v>
      </c>
      <c r="J122" s="109"/>
      <c r="K122" s="110"/>
      <c r="L122" s="41">
        <v>80000</v>
      </c>
      <c r="M122" s="7">
        <f t="shared" si="5"/>
        <v>960000</v>
      </c>
      <c r="N122" s="195" t="s">
        <v>416</v>
      </c>
    </row>
    <row r="123" spans="1:14" ht="15.6" x14ac:dyDescent="0.3">
      <c r="A123" s="34"/>
      <c r="B123" s="3"/>
      <c r="C123" s="56">
        <f t="shared" si="3"/>
        <v>-12995500</v>
      </c>
      <c r="D123" s="34"/>
      <c r="E123" s="35"/>
      <c r="F123" s="7"/>
      <c r="H123" s="7">
        <v>14</v>
      </c>
      <c r="I123" s="8">
        <v>45960</v>
      </c>
      <c r="J123" s="109"/>
      <c r="K123" s="110"/>
      <c r="L123" s="41">
        <v>80000</v>
      </c>
      <c r="M123" s="7">
        <f t="shared" si="5"/>
        <v>880000</v>
      </c>
      <c r="N123" s="195" t="s">
        <v>416</v>
      </c>
    </row>
    <row r="124" spans="1:14" ht="15.6" x14ac:dyDescent="0.3">
      <c r="A124" s="34"/>
      <c r="B124" s="3"/>
      <c r="C124" s="56">
        <f t="shared" si="3"/>
        <v>-12995500</v>
      </c>
      <c r="D124" s="34"/>
      <c r="E124" s="35"/>
      <c r="F124" s="7"/>
      <c r="H124" s="7">
        <v>15</v>
      </c>
      <c r="I124" s="103">
        <v>45991</v>
      </c>
      <c r="J124" s="109"/>
      <c r="K124" s="110"/>
      <c r="L124" s="41">
        <v>80000</v>
      </c>
      <c r="M124" s="7">
        <f t="shared" si="5"/>
        <v>800000</v>
      </c>
      <c r="N124" s="195" t="s">
        <v>416</v>
      </c>
    </row>
    <row r="125" spans="1:14" ht="15.6" x14ac:dyDescent="0.3">
      <c r="A125" s="34"/>
      <c r="B125" s="3"/>
      <c r="C125" s="56">
        <f t="shared" si="3"/>
        <v>-12995500</v>
      </c>
      <c r="D125" s="34"/>
      <c r="E125" s="35"/>
      <c r="F125" s="7"/>
      <c r="H125" s="7">
        <v>16</v>
      </c>
      <c r="I125" s="103">
        <v>46021</v>
      </c>
      <c r="J125" s="109"/>
      <c r="K125" s="110"/>
      <c r="L125" s="41">
        <v>80000</v>
      </c>
      <c r="M125" s="7">
        <f t="shared" si="5"/>
        <v>720000</v>
      </c>
      <c r="N125" s="195" t="s">
        <v>416</v>
      </c>
    </row>
    <row r="126" spans="1:14" ht="15.6" x14ac:dyDescent="0.3">
      <c r="A126" s="34"/>
      <c r="B126" s="3"/>
      <c r="C126" s="56">
        <f t="shared" si="3"/>
        <v>-12995500</v>
      </c>
      <c r="D126" s="34"/>
      <c r="E126" s="35"/>
      <c r="F126" s="7"/>
      <c r="H126" s="7">
        <v>17</v>
      </c>
      <c r="I126" s="8">
        <v>46052</v>
      </c>
      <c r="J126" s="109"/>
      <c r="K126" s="110"/>
      <c r="L126" s="41">
        <v>80000</v>
      </c>
      <c r="M126" s="7">
        <f t="shared" si="5"/>
        <v>640000</v>
      </c>
      <c r="N126" s="195" t="s">
        <v>416</v>
      </c>
    </row>
    <row r="127" spans="1:14" ht="15.6" x14ac:dyDescent="0.3">
      <c r="A127" s="3"/>
      <c r="B127" s="3"/>
      <c r="C127" s="56">
        <f t="shared" si="3"/>
        <v>-12995500</v>
      </c>
      <c r="D127" s="7"/>
      <c r="E127" s="8"/>
      <c r="F127" s="7"/>
      <c r="H127" s="7">
        <v>18</v>
      </c>
      <c r="I127" s="103">
        <v>46081</v>
      </c>
      <c r="J127" s="109"/>
      <c r="K127" s="110"/>
      <c r="L127" s="41">
        <v>80000</v>
      </c>
      <c r="M127" s="7">
        <f t="shared" si="5"/>
        <v>560000</v>
      </c>
      <c r="N127" s="195" t="s">
        <v>416</v>
      </c>
    </row>
    <row r="128" spans="1:14" ht="15.6" x14ac:dyDescent="0.3">
      <c r="A128" s="3"/>
      <c r="B128" s="3"/>
      <c r="C128" s="56">
        <f t="shared" si="3"/>
        <v>-12995500</v>
      </c>
      <c r="D128" s="7"/>
      <c r="E128" s="8"/>
      <c r="F128" s="7"/>
      <c r="H128" s="7">
        <v>19</v>
      </c>
      <c r="I128" s="103">
        <v>46111</v>
      </c>
      <c r="J128" s="109"/>
      <c r="K128" s="110"/>
      <c r="L128" s="41"/>
      <c r="M128" s="7">
        <f t="shared" si="5"/>
        <v>560000</v>
      </c>
      <c r="N128" s="111"/>
    </row>
    <row r="129" spans="1:14" ht="15.6" x14ac:dyDescent="0.3">
      <c r="A129" s="3"/>
      <c r="B129" s="3"/>
      <c r="C129" s="56">
        <f t="shared" si="3"/>
        <v>-12995500</v>
      </c>
      <c r="D129" s="7"/>
      <c r="E129" s="8"/>
      <c r="F129" s="7"/>
      <c r="H129" s="7">
        <v>20</v>
      </c>
      <c r="I129" s="103">
        <v>45565</v>
      </c>
      <c r="J129" s="109"/>
      <c r="K129" s="110"/>
      <c r="L129" s="41"/>
      <c r="M129" s="7">
        <f t="shared" si="5"/>
        <v>560000</v>
      </c>
      <c r="N129" s="111"/>
    </row>
    <row r="130" spans="1:14" ht="15.6" x14ac:dyDescent="0.3">
      <c r="A130" s="3"/>
      <c r="B130" s="3"/>
      <c r="C130" s="56">
        <f t="shared" si="3"/>
        <v>-12995500</v>
      </c>
      <c r="D130" s="7"/>
      <c r="E130" s="8"/>
      <c r="F130" s="7"/>
      <c r="H130" s="7">
        <v>21</v>
      </c>
      <c r="I130" s="8">
        <v>45595</v>
      </c>
      <c r="J130" s="109"/>
      <c r="K130" s="110"/>
      <c r="L130" s="41"/>
      <c r="M130" s="7">
        <f t="shared" si="5"/>
        <v>560000</v>
      </c>
      <c r="N130" s="111"/>
    </row>
    <row r="131" spans="1:14" ht="15.6" x14ac:dyDescent="0.3">
      <c r="A131" s="3"/>
      <c r="B131" s="3"/>
      <c r="C131" s="56">
        <f t="shared" si="3"/>
        <v>-12995500</v>
      </c>
      <c r="D131" s="7"/>
      <c r="E131" s="8"/>
      <c r="F131" s="7"/>
      <c r="H131" s="7">
        <v>22</v>
      </c>
      <c r="I131" s="103">
        <v>45626</v>
      </c>
      <c r="J131" s="109"/>
      <c r="K131" s="110"/>
      <c r="L131" s="41"/>
      <c r="M131" s="7">
        <f t="shared" si="5"/>
        <v>560000</v>
      </c>
      <c r="N131" s="111"/>
    </row>
    <row r="132" spans="1:14" ht="15.6" x14ac:dyDescent="0.3">
      <c r="A132" s="3"/>
      <c r="B132" s="3"/>
      <c r="C132" s="56">
        <f t="shared" si="3"/>
        <v>-12995500</v>
      </c>
      <c r="D132" s="7"/>
      <c r="E132" s="8"/>
      <c r="F132" s="7"/>
      <c r="H132" s="7">
        <v>23</v>
      </c>
      <c r="I132" s="103">
        <v>45656</v>
      </c>
      <c r="J132" s="109"/>
      <c r="K132" s="110"/>
      <c r="L132" s="41"/>
      <c r="M132" s="7">
        <f t="shared" si="5"/>
        <v>560000</v>
      </c>
      <c r="N132" s="111"/>
    </row>
    <row r="133" spans="1:14" ht="15.6" x14ac:dyDescent="0.3">
      <c r="A133" s="3"/>
      <c r="B133" s="3"/>
      <c r="C133" s="56">
        <f t="shared" si="3"/>
        <v>-12995500</v>
      </c>
      <c r="D133" s="7"/>
      <c r="E133" s="8"/>
      <c r="F133" s="7"/>
      <c r="H133" s="7">
        <v>24</v>
      </c>
      <c r="I133" s="8">
        <v>45687</v>
      </c>
      <c r="J133" s="109"/>
      <c r="K133" s="110"/>
      <c r="L133" s="41"/>
      <c r="M133" s="7">
        <f t="shared" si="5"/>
        <v>560000</v>
      </c>
      <c r="N133" s="111"/>
    </row>
    <row r="134" spans="1:14" ht="15.6" x14ac:dyDescent="0.3">
      <c r="A134" s="3"/>
      <c r="B134" s="3"/>
      <c r="C134" s="56">
        <f t="shared" si="3"/>
        <v>-12995500</v>
      </c>
      <c r="D134" s="7"/>
      <c r="E134" s="8"/>
      <c r="F134" s="7"/>
      <c r="H134" s="7">
        <v>25</v>
      </c>
      <c r="I134" s="103">
        <v>45716</v>
      </c>
      <c r="J134" s="109"/>
      <c r="K134" s="110"/>
      <c r="L134" s="41"/>
      <c r="M134" s="7">
        <f t="shared" si="5"/>
        <v>560000</v>
      </c>
      <c r="N134" s="111"/>
    </row>
    <row r="135" spans="1:14" ht="15.6" x14ac:dyDescent="0.3">
      <c r="A135" s="3"/>
      <c r="B135" s="3"/>
      <c r="C135" s="56">
        <f t="shared" si="3"/>
        <v>-12995500</v>
      </c>
      <c r="D135" s="7"/>
      <c r="E135" s="8"/>
      <c r="F135" s="7"/>
      <c r="H135" s="7"/>
      <c r="I135" s="8"/>
      <c r="J135" s="8"/>
      <c r="K135" s="41"/>
      <c r="L135" s="41"/>
      <c r="M135" s="7">
        <f t="shared" si="5"/>
        <v>560000</v>
      </c>
      <c r="N135" s="7"/>
    </row>
    <row r="136" spans="1:14" ht="15.6" x14ac:dyDescent="0.3">
      <c r="A136" s="3"/>
      <c r="B136" s="3"/>
      <c r="C136" s="56">
        <f t="shared" si="3"/>
        <v>-12995500</v>
      </c>
      <c r="D136" s="7"/>
      <c r="E136" s="8"/>
      <c r="F136" s="7"/>
    </row>
    <row r="137" spans="1:14" ht="15.6" x14ac:dyDescent="0.3">
      <c r="A137" s="3"/>
      <c r="B137" s="3"/>
      <c r="C137" s="56">
        <f t="shared" ref="C137:C173" si="6">IF(A137&gt;0,C136+A137-B137,C136-B137)</f>
        <v>-12995500</v>
      </c>
      <c r="D137" s="7"/>
      <c r="E137" s="8"/>
      <c r="F137" s="7"/>
    </row>
    <row r="138" spans="1:14" ht="15.6" x14ac:dyDescent="0.3">
      <c r="A138" s="3"/>
      <c r="B138" s="3"/>
      <c r="C138" s="56">
        <f t="shared" si="6"/>
        <v>-12995500</v>
      </c>
      <c r="D138" s="7"/>
      <c r="E138" s="8"/>
      <c r="F138" s="7"/>
    </row>
    <row r="139" spans="1:14" ht="15.6" x14ac:dyDescent="0.3">
      <c r="A139" s="3"/>
      <c r="B139" s="3"/>
      <c r="C139" s="56">
        <f t="shared" si="6"/>
        <v>-12995500</v>
      </c>
      <c r="D139" s="7"/>
      <c r="E139" s="8"/>
      <c r="F139" s="7"/>
      <c r="H139" s="196"/>
      <c r="I139" s="196" t="s">
        <v>37</v>
      </c>
      <c r="J139" s="284" t="s">
        <v>427</v>
      </c>
      <c r="K139" s="284"/>
      <c r="L139" s="284"/>
      <c r="M139" s="197" t="s">
        <v>422</v>
      </c>
      <c r="N139" s="196" t="s">
        <v>423</v>
      </c>
    </row>
    <row r="140" spans="1:14" ht="15.6" x14ac:dyDescent="0.3">
      <c r="A140" s="3"/>
      <c r="B140" s="3"/>
      <c r="C140" s="56">
        <f t="shared" si="6"/>
        <v>-12995500</v>
      </c>
      <c r="D140" s="7"/>
      <c r="E140" s="8"/>
      <c r="F140" s="7"/>
      <c r="H140" s="7" t="s">
        <v>40</v>
      </c>
      <c r="I140" s="7" t="s">
        <v>6</v>
      </c>
      <c r="J140" s="7" t="s">
        <v>5</v>
      </c>
      <c r="K140" s="41" t="s">
        <v>41</v>
      </c>
      <c r="L140" s="41" t="s">
        <v>42</v>
      </c>
      <c r="M140" s="7" t="s">
        <v>43</v>
      </c>
      <c r="N140" s="7" t="s">
        <v>539</v>
      </c>
    </row>
    <row r="141" spans="1:14" ht="15.6" x14ac:dyDescent="0.3">
      <c r="A141" s="3"/>
      <c r="B141" s="3"/>
      <c r="C141" s="56">
        <f t="shared" si="6"/>
        <v>-12995500</v>
      </c>
      <c r="D141" s="7"/>
      <c r="E141" s="8"/>
      <c r="F141" s="7"/>
      <c r="H141" s="7"/>
      <c r="I141" s="8"/>
      <c r="J141" s="8" t="s">
        <v>413</v>
      </c>
      <c r="K141" s="41">
        <v>6919000</v>
      </c>
      <c r="L141" s="41"/>
      <c r="M141" s="7">
        <f>K141-L141</f>
        <v>6919000</v>
      </c>
      <c r="N141" s="7" t="s">
        <v>424</v>
      </c>
    </row>
    <row r="142" spans="1:14" ht="15.6" x14ac:dyDescent="0.3">
      <c r="A142" s="3"/>
      <c r="B142" s="3"/>
      <c r="C142" s="56">
        <f t="shared" si="6"/>
        <v>-12995500</v>
      </c>
      <c r="D142" s="7"/>
      <c r="E142" s="8"/>
      <c r="F142" s="7"/>
      <c r="H142" s="7"/>
      <c r="I142" s="103"/>
      <c r="J142" s="103"/>
      <c r="K142" s="41"/>
      <c r="L142" s="41"/>
      <c r="M142" s="7">
        <f>M141-L142</f>
        <v>6919000</v>
      </c>
      <c r="N142" s="7"/>
    </row>
    <row r="143" spans="1:14" ht="15.6" x14ac:dyDescent="0.3">
      <c r="A143" s="3"/>
      <c r="B143" s="3"/>
      <c r="C143" s="56">
        <f t="shared" si="6"/>
        <v>-12995500</v>
      </c>
      <c r="D143" s="7"/>
      <c r="E143" s="8"/>
      <c r="F143" s="7"/>
      <c r="H143" s="7">
        <v>1</v>
      </c>
      <c r="I143" s="103" t="s">
        <v>96</v>
      </c>
      <c r="J143" s="8"/>
      <c r="K143" s="41"/>
      <c r="L143" s="47">
        <v>235000</v>
      </c>
      <c r="M143" s="48">
        <f t="shared" ref="M143:M171" si="7">M142-L143</f>
        <v>6684000</v>
      </c>
      <c r="N143" s="48" t="s">
        <v>428</v>
      </c>
    </row>
    <row r="144" spans="1:14" ht="15.6" x14ac:dyDescent="0.3">
      <c r="A144" s="3"/>
      <c r="B144" s="3"/>
      <c r="C144" s="56">
        <f t="shared" si="6"/>
        <v>-12995500</v>
      </c>
      <c r="D144" s="7"/>
      <c r="E144" s="8"/>
      <c r="F144" s="7"/>
      <c r="H144" s="7">
        <v>2</v>
      </c>
      <c r="I144" s="103" t="s">
        <v>333</v>
      </c>
      <c r="J144" s="8"/>
      <c r="K144" s="41"/>
      <c r="L144" s="47">
        <v>288000</v>
      </c>
      <c r="M144" s="48">
        <f t="shared" si="7"/>
        <v>6396000</v>
      </c>
      <c r="N144" s="48" t="s">
        <v>428</v>
      </c>
    </row>
    <row r="145" spans="1:14" ht="15.6" x14ac:dyDescent="0.3">
      <c r="A145" s="3"/>
      <c r="B145" s="3"/>
      <c r="C145" s="56">
        <f t="shared" si="6"/>
        <v>-12995500</v>
      </c>
      <c r="D145" s="7"/>
      <c r="E145" s="8"/>
      <c r="F145" s="7"/>
      <c r="H145" s="7">
        <v>3</v>
      </c>
      <c r="I145" s="103" t="s">
        <v>287</v>
      </c>
      <c r="J145" s="8"/>
      <c r="K145" s="41"/>
      <c r="L145" s="41">
        <v>288000</v>
      </c>
      <c r="M145" s="7">
        <f t="shared" si="7"/>
        <v>6108000</v>
      </c>
      <c r="N145" s="7"/>
    </row>
    <row r="146" spans="1:14" ht="15.6" x14ac:dyDescent="0.3">
      <c r="A146" s="3"/>
      <c r="B146" s="3"/>
      <c r="C146" s="56">
        <f t="shared" si="6"/>
        <v>-12995500</v>
      </c>
      <c r="D146" s="7"/>
      <c r="E146" s="8"/>
      <c r="F146" s="7"/>
      <c r="H146" s="7">
        <v>4</v>
      </c>
      <c r="I146" s="103" t="s">
        <v>65</v>
      </c>
      <c r="J146" s="8"/>
      <c r="K146" s="41"/>
      <c r="L146" s="41">
        <v>288000</v>
      </c>
      <c r="M146" s="7">
        <f t="shared" si="7"/>
        <v>5820000</v>
      </c>
      <c r="N146" s="7"/>
    </row>
    <row r="147" spans="1:14" ht="15.6" x14ac:dyDescent="0.3">
      <c r="A147" s="3"/>
      <c r="B147" s="3"/>
      <c r="C147" s="56">
        <f t="shared" si="6"/>
        <v>-12995500</v>
      </c>
      <c r="D147" s="7"/>
      <c r="E147" s="8"/>
      <c r="F147" s="7"/>
      <c r="H147" s="7">
        <v>5</v>
      </c>
      <c r="I147" s="8" t="s">
        <v>429</v>
      </c>
      <c r="J147" s="8"/>
      <c r="K147" s="41"/>
      <c r="L147" s="41">
        <v>288000</v>
      </c>
      <c r="M147" s="7">
        <f t="shared" si="7"/>
        <v>5532000</v>
      </c>
      <c r="N147" s="7"/>
    </row>
    <row r="148" spans="1:14" ht="15.6" x14ac:dyDescent="0.3">
      <c r="A148" s="3"/>
      <c r="B148" s="3"/>
      <c r="C148" s="56">
        <f t="shared" si="6"/>
        <v>-12995500</v>
      </c>
      <c r="D148" s="7"/>
      <c r="E148" s="8"/>
      <c r="F148" s="7"/>
      <c r="H148" s="7">
        <v>6</v>
      </c>
      <c r="I148" s="103" t="s">
        <v>9</v>
      </c>
      <c r="J148" s="8"/>
      <c r="K148" s="41"/>
      <c r="L148" s="41">
        <v>288000</v>
      </c>
      <c r="M148" s="7">
        <f t="shared" si="7"/>
        <v>5244000</v>
      </c>
      <c r="N148" s="7"/>
    </row>
    <row r="149" spans="1:14" ht="15.6" x14ac:dyDescent="0.3">
      <c r="A149" s="3"/>
      <c r="B149" s="3"/>
      <c r="C149" s="56">
        <f t="shared" si="6"/>
        <v>-12995500</v>
      </c>
      <c r="D149" s="7"/>
      <c r="E149" s="8"/>
      <c r="F149" s="7"/>
      <c r="H149" s="7">
        <v>7</v>
      </c>
      <c r="I149" s="103" t="s">
        <v>19</v>
      </c>
      <c r="J149" s="8"/>
      <c r="K149" s="41"/>
      <c r="L149" s="41">
        <v>288000</v>
      </c>
      <c r="M149" s="7">
        <f t="shared" si="7"/>
        <v>4956000</v>
      </c>
      <c r="N149" s="7"/>
    </row>
    <row r="150" spans="1:14" ht="15.6" x14ac:dyDescent="0.3">
      <c r="A150" s="3"/>
      <c r="B150" s="3"/>
      <c r="C150" s="56">
        <f t="shared" si="6"/>
        <v>-12995500</v>
      </c>
      <c r="D150" s="7"/>
      <c r="E150" s="8"/>
      <c r="F150" s="7"/>
      <c r="H150" s="7">
        <v>8</v>
      </c>
      <c r="I150" s="8" t="s">
        <v>67</v>
      </c>
      <c r="J150" s="8"/>
      <c r="K150" s="41"/>
      <c r="L150" s="41">
        <v>288000</v>
      </c>
      <c r="M150" s="7">
        <f t="shared" si="7"/>
        <v>4668000</v>
      </c>
      <c r="N150" s="7" t="s">
        <v>416</v>
      </c>
    </row>
    <row r="151" spans="1:14" ht="15.6" x14ac:dyDescent="0.3">
      <c r="A151" s="3"/>
      <c r="B151" s="3"/>
      <c r="C151" s="56">
        <f t="shared" si="6"/>
        <v>-12995500</v>
      </c>
      <c r="D151" s="7"/>
      <c r="E151" s="8"/>
      <c r="F151" s="7"/>
      <c r="H151" s="7">
        <v>9</v>
      </c>
      <c r="I151" s="103" t="s">
        <v>68</v>
      </c>
      <c r="J151" s="8"/>
      <c r="K151" s="41"/>
      <c r="L151" s="41">
        <v>288000</v>
      </c>
      <c r="M151" s="7">
        <f t="shared" si="7"/>
        <v>4380000</v>
      </c>
      <c r="N151" s="7" t="s">
        <v>416</v>
      </c>
    </row>
    <row r="152" spans="1:14" ht="15.6" x14ac:dyDescent="0.3">
      <c r="A152" s="3"/>
      <c r="B152" s="3"/>
      <c r="C152" s="56">
        <f t="shared" si="6"/>
        <v>-12995500</v>
      </c>
      <c r="D152" s="7"/>
      <c r="E152" s="8"/>
      <c r="F152" s="7"/>
      <c r="H152" s="7">
        <v>10</v>
      </c>
      <c r="I152" s="103" t="s">
        <v>69</v>
      </c>
      <c r="J152" s="8"/>
      <c r="K152" s="41"/>
      <c r="L152" s="41">
        <v>288000</v>
      </c>
      <c r="M152" s="7">
        <f t="shared" si="7"/>
        <v>4092000</v>
      </c>
      <c r="N152" s="7" t="s">
        <v>416</v>
      </c>
    </row>
    <row r="153" spans="1:14" ht="15.6" x14ac:dyDescent="0.3">
      <c r="A153" s="3"/>
      <c r="B153" s="3"/>
      <c r="C153" s="56">
        <f t="shared" si="6"/>
        <v>-12995500</v>
      </c>
      <c r="D153" s="7"/>
      <c r="E153" s="8"/>
      <c r="F153" s="7"/>
      <c r="H153" s="7">
        <v>11</v>
      </c>
      <c r="I153" s="8" t="s">
        <v>73</v>
      </c>
      <c r="J153" s="8"/>
      <c r="K153" s="41"/>
      <c r="L153" s="41">
        <v>288000</v>
      </c>
      <c r="M153" s="7">
        <f t="shared" si="7"/>
        <v>3804000</v>
      </c>
      <c r="N153" s="7" t="s">
        <v>416</v>
      </c>
    </row>
    <row r="154" spans="1:14" ht="15.6" x14ac:dyDescent="0.3">
      <c r="A154" s="3"/>
      <c r="B154" s="3"/>
      <c r="C154" s="56">
        <f t="shared" si="6"/>
        <v>-12995500</v>
      </c>
      <c r="D154" s="7"/>
      <c r="E154" s="8"/>
      <c r="F154" s="7"/>
      <c r="H154" s="7">
        <v>12</v>
      </c>
      <c r="I154" s="103" t="s">
        <v>74</v>
      </c>
      <c r="J154" s="109"/>
      <c r="K154" s="110"/>
      <c r="L154" s="41">
        <v>288000</v>
      </c>
      <c r="M154" s="7">
        <f t="shared" si="7"/>
        <v>3516000</v>
      </c>
      <c r="N154" s="7" t="s">
        <v>416</v>
      </c>
    </row>
    <row r="155" spans="1:14" ht="15.6" x14ac:dyDescent="0.3">
      <c r="A155" s="3"/>
      <c r="B155" s="3"/>
      <c r="C155" s="56">
        <f t="shared" si="6"/>
        <v>-12995500</v>
      </c>
      <c r="D155" s="7"/>
      <c r="E155" s="8"/>
      <c r="F155" s="7"/>
      <c r="H155" s="7">
        <v>13</v>
      </c>
      <c r="I155" s="103" t="s">
        <v>75</v>
      </c>
      <c r="J155" s="109"/>
      <c r="K155" s="110"/>
      <c r="L155" s="41">
        <v>288000</v>
      </c>
      <c r="M155" s="7">
        <f t="shared" si="7"/>
        <v>3228000</v>
      </c>
      <c r="N155" s="7" t="s">
        <v>416</v>
      </c>
    </row>
    <row r="156" spans="1:14" ht="15.6" x14ac:dyDescent="0.3">
      <c r="A156" s="3"/>
      <c r="B156" s="3"/>
      <c r="C156" s="56">
        <f t="shared" si="6"/>
        <v>-12995500</v>
      </c>
      <c r="D156" s="7"/>
      <c r="E156" s="8"/>
      <c r="F156" s="7"/>
      <c r="H156" s="7">
        <v>14</v>
      </c>
      <c r="I156" s="8" t="s">
        <v>76</v>
      </c>
      <c r="J156" s="109"/>
      <c r="K156" s="110"/>
      <c r="L156" s="41">
        <v>288000</v>
      </c>
      <c r="M156" s="7">
        <f t="shared" si="7"/>
        <v>2940000</v>
      </c>
      <c r="N156" s="7" t="s">
        <v>416</v>
      </c>
    </row>
    <row r="157" spans="1:14" ht="15.6" x14ac:dyDescent="0.3">
      <c r="A157" s="3"/>
      <c r="B157" s="3"/>
      <c r="C157" s="56">
        <f t="shared" si="6"/>
        <v>-12995500</v>
      </c>
      <c r="D157" s="7"/>
      <c r="E157" s="8"/>
      <c r="F157" s="7"/>
      <c r="H157" s="7">
        <v>15</v>
      </c>
      <c r="I157" s="103" t="s">
        <v>77</v>
      </c>
      <c r="J157" s="109"/>
      <c r="K157" s="110"/>
      <c r="L157" s="41"/>
      <c r="M157" s="7">
        <f t="shared" si="7"/>
        <v>2940000</v>
      </c>
      <c r="N157" s="111"/>
    </row>
    <row r="158" spans="1:14" ht="15.6" x14ac:dyDescent="0.3">
      <c r="A158" s="3"/>
      <c r="B158" s="3"/>
      <c r="C158" s="56">
        <f t="shared" si="6"/>
        <v>-12995500</v>
      </c>
      <c r="D158" s="7"/>
      <c r="E158" s="8"/>
      <c r="F158" s="7"/>
      <c r="H158" s="7">
        <v>16</v>
      </c>
      <c r="I158" s="103" t="s">
        <v>78</v>
      </c>
      <c r="J158" s="109"/>
      <c r="K158" s="110"/>
      <c r="L158" s="41"/>
      <c r="M158" s="7">
        <f t="shared" si="7"/>
        <v>2940000</v>
      </c>
      <c r="N158" s="111"/>
    </row>
    <row r="159" spans="1:14" ht="15.6" x14ac:dyDescent="0.3">
      <c r="A159" s="3"/>
      <c r="B159" s="3"/>
      <c r="C159" s="56">
        <f t="shared" si="6"/>
        <v>-12995500</v>
      </c>
      <c r="D159" s="7"/>
      <c r="E159" s="8"/>
      <c r="F159" s="7"/>
      <c r="H159" s="7">
        <v>17</v>
      </c>
      <c r="I159" s="8" t="s">
        <v>79</v>
      </c>
      <c r="J159" s="109"/>
      <c r="K159" s="110"/>
      <c r="L159" s="41"/>
      <c r="M159" s="7">
        <f t="shared" si="7"/>
        <v>2940000</v>
      </c>
      <c r="N159" s="111"/>
    </row>
    <row r="160" spans="1:14" ht="15.6" x14ac:dyDescent="0.3">
      <c r="A160" s="3"/>
      <c r="B160" s="3"/>
      <c r="C160" s="56">
        <f t="shared" si="6"/>
        <v>-12995500</v>
      </c>
      <c r="D160" s="7"/>
      <c r="E160" s="8"/>
      <c r="F160" s="7"/>
      <c r="H160" s="7">
        <v>18</v>
      </c>
      <c r="I160" s="103" t="s">
        <v>195</v>
      </c>
      <c r="J160" s="109"/>
      <c r="K160" s="110"/>
      <c r="L160" s="41"/>
      <c r="M160" s="7">
        <f t="shared" si="7"/>
        <v>2940000</v>
      </c>
      <c r="N160" s="111"/>
    </row>
    <row r="161" spans="1:14" ht="15.6" x14ac:dyDescent="0.3">
      <c r="A161" s="3"/>
      <c r="B161" s="3"/>
      <c r="C161" s="56">
        <f t="shared" si="6"/>
        <v>-12995500</v>
      </c>
      <c r="D161" s="7"/>
      <c r="E161" s="8"/>
      <c r="F161" s="7"/>
      <c r="H161" s="7">
        <v>19</v>
      </c>
      <c r="I161" s="103" t="s">
        <v>196</v>
      </c>
      <c r="J161" s="109"/>
      <c r="K161" s="110"/>
      <c r="L161" s="41"/>
      <c r="M161" s="7">
        <f t="shared" si="7"/>
        <v>2940000</v>
      </c>
      <c r="N161" s="111"/>
    </row>
    <row r="162" spans="1:14" ht="15.6" x14ac:dyDescent="0.3">
      <c r="A162" s="3"/>
      <c r="B162" s="3"/>
      <c r="C162" s="56">
        <f t="shared" si="6"/>
        <v>-12995500</v>
      </c>
      <c r="D162" s="7"/>
      <c r="E162" s="8"/>
      <c r="F162" s="7"/>
      <c r="H162" s="7">
        <v>20</v>
      </c>
      <c r="I162" s="103" t="s">
        <v>197</v>
      </c>
      <c r="J162" s="109"/>
      <c r="K162" s="110"/>
      <c r="L162" s="41"/>
      <c r="M162" s="7">
        <f t="shared" si="7"/>
        <v>2940000</v>
      </c>
      <c r="N162" s="111"/>
    </row>
    <row r="163" spans="1:14" ht="15.6" x14ac:dyDescent="0.3">
      <c r="A163" s="3"/>
      <c r="B163" s="3"/>
      <c r="C163" s="56">
        <f t="shared" si="6"/>
        <v>-12995500</v>
      </c>
      <c r="D163" s="7"/>
      <c r="E163" s="8"/>
      <c r="F163" s="7"/>
      <c r="H163" s="7">
        <v>21</v>
      </c>
      <c r="I163" s="8" t="s">
        <v>282</v>
      </c>
      <c r="J163" s="109"/>
      <c r="K163" s="110"/>
      <c r="L163" s="41"/>
      <c r="M163" s="7">
        <f t="shared" si="7"/>
        <v>2940000</v>
      </c>
      <c r="N163" s="111"/>
    </row>
    <row r="164" spans="1:14" ht="15.6" x14ac:dyDescent="0.3">
      <c r="A164" s="3"/>
      <c r="B164" s="3"/>
      <c r="C164" s="56">
        <f t="shared" si="6"/>
        <v>-12995500</v>
      </c>
      <c r="D164" s="7"/>
      <c r="E164" s="8"/>
      <c r="F164" s="7"/>
      <c r="H164" s="7">
        <v>22</v>
      </c>
      <c r="I164" s="103" t="s">
        <v>283</v>
      </c>
      <c r="J164" s="109"/>
      <c r="K164" s="110"/>
      <c r="L164" s="41"/>
      <c r="M164" s="7">
        <f t="shared" si="7"/>
        <v>2940000</v>
      </c>
      <c r="N164" s="111"/>
    </row>
    <row r="165" spans="1:14" ht="15.6" x14ac:dyDescent="0.3">
      <c r="A165" s="3"/>
      <c r="B165" s="3"/>
      <c r="C165" s="56">
        <f t="shared" si="6"/>
        <v>-12995500</v>
      </c>
      <c r="D165" s="7"/>
      <c r="E165" s="8"/>
      <c r="F165" s="7"/>
      <c r="H165" s="7">
        <v>23</v>
      </c>
      <c r="I165" s="103" t="s">
        <v>284</v>
      </c>
      <c r="J165" s="109"/>
      <c r="K165" s="110"/>
      <c r="L165" s="41"/>
      <c r="M165" s="7">
        <f t="shared" si="7"/>
        <v>2940000</v>
      </c>
      <c r="N165" s="111"/>
    </row>
    <row r="166" spans="1:14" ht="15.6" x14ac:dyDescent="0.3">
      <c r="A166" s="3"/>
      <c r="B166" s="3"/>
      <c r="C166" s="56">
        <f t="shared" si="6"/>
        <v>-12995500</v>
      </c>
      <c r="D166" s="7"/>
      <c r="E166" s="8"/>
      <c r="F166" s="7"/>
      <c r="H166" s="7">
        <v>24</v>
      </c>
      <c r="I166" s="8" t="s">
        <v>285</v>
      </c>
      <c r="J166" s="109"/>
      <c r="K166" s="110"/>
      <c r="L166" s="41"/>
      <c r="M166" s="7">
        <f t="shared" si="7"/>
        <v>2940000</v>
      </c>
      <c r="N166" s="111"/>
    </row>
    <row r="167" spans="1:14" ht="15.6" x14ac:dyDescent="0.3">
      <c r="A167" s="3"/>
      <c r="B167" s="3"/>
      <c r="C167" s="56">
        <f t="shared" si="6"/>
        <v>-12995500</v>
      </c>
      <c r="D167" s="7"/>
      <c r="E167" s="8"/>
      <c r="F167" s="7"/>
      <c r="H167" s="7">
        <v>25</v>
      </c>
      <c r="I167" s="103" t="s">
        <v>430</v>
      </c>
      <c r="J167" s="109"/>
      <c r="K167" s="110"/>
      <c r="L167" s="41"/>
      <c r="M167" s="7">
        <f t="shared" si="7"/>
        <v>2940000</v>
      </c>
      <c r="N167" s="111" t="s">
        <v>431</v>
      </c>
    </row>
    <row r="168" spans="1:14" ht="15.6" x14ac:dyDescent="0.3">
      <c r="A168" s="3"/>
      <c r="B168" s="3"/>
      <c r="C168" s="56">
        <f t="shared" si="6"/>
        <v>-12995500</v>
      </c>
      <c r="D168" s="7"/>
      <c r="E168" s="8"/>
      <c r="F168" s="7"/>
      <c r="H168" s="7"/>
      <c r="I168" s="8"/>
      <c r="J168" s="109"/>
      <c r="K168" s="110"/>
      <c r="L168" s="41"/>
      <c r="M168" s="7">
        <f t="shared" si="7"/>
        <v>2940000</v>
      </c>
      <c r="N168" s="111"/>
    </row>
    <row r="169" spans="1:14" ht="15.6" x14ac:dyDescent="0.3">
      <c r="A169" s="3"/>
      <c r="B169" s="3"/>
      <c r="C169" s="56">
        <f t="shared" si="6"/>
        <v>-12995500</v>
      </c>
      <c r="D169" s="7"/>
      <c r="E169" s="8"/>
      <c r="F169" s="7"/>
      <c r="H169" s="7"/>
      <c r="I169" s="103"/>
      <c r="J169" s="109"/>
      <c r="K169" s="110"/>
      <c r="L169" s="41"/>
      <c r="M169" s="7">
        <f t="shared" si="7"/>
        <v>2940000</v>
      </c>
      <c r="N169" s="111"/>
    </row>
    <row r="170" spans="1:14" ht="15.6" x14ac:dyDescent="0.3">
      <c r="A170" s="3"/>
      <c r="B170" s="3"/>
      <c r="C170" s="56">
        <f t="shared" si="6"/>
        <v>-12995500</v>
      </c>
      <c r="D170" s="7"/>
      <c r="E170" s="8"/>
      <c r="F170" s="7"/>
      <c r="H170" s="198"/>
      <c r="I170" s="109"/>
      <c r="J170" s="109"/>
      <c r="K170" s="110"/>
      <c r="L170" s="110"/>
      <c r="M170" s="7">
        <f t="shared" si="7"/>
        <v>2940000</v>
      </c>
      <c r="N170" s="111"/>
    </row>
    <row r="171" spans="1:14" ht="15.6" x14ac:dyDescent="0.3">
      <c r="A171" s="3"/>
      <c r="B171" s="3"/>
      <c r="C171" s="56">
        <f t="shared" si="6"/>
        <v>-12995500</v>
      </c>
      <c r="D171" s="7"/>
      <c r="E171" s="8"/>
      <c r="F171" s="7"/>
      <c r="H171" s="198"/>
      <c r="I171" s="109"/>
      <c r="J171" s="109"/>
      <c r="K171" s="110"/>
      <c r="L171" s="110"/>
      <c r="M171" s="7">
        <f t="shared" si="7"/>
        <v>2940000</v>
      </c>
      <c r="N171" s="111"/>
    </row>
    <row r="172" spans="1:14" ht="16.2" thickBot="1" x14ac:dyDescent="0.35">
      <c r="A172" s="3"/>
      <c r="B172" s="3"/>
      <c r="C172" s="56">
        <f t="shared" si="6"/>
        <v>-12995500</v>
      </c>
      <c r="D172" s="7"/>
      <c r="E172" s="8"/>
      <c r="F172" s="7"/>
      <c r="H172" s="199"/>
      <c r="I172" s="200"/>
      <c r="J172" s="200"/>
      <c r="K172" s="201"/>
      <c r="L172" s="201"/>
      <c r="M172" s="7"/>
      <c r="N172" s="202"/>
    </row>
    <row r="173" spans="1:14" ht="15.6" x14ac:dyDescent="0.3">
      <c r="A173" s="3"/>
      <c r="B173" s="3"/>
      <c r="C173" s="56">
        <f t="shared" si="6"/>
        <v>-12995500</v>
      </c>
      <c r="D173" s="7"/>
      <c r="E173" s="8"/>
      <c r="H173" s="15"/>
      <c r="I173" s="15"/>
      <c r="J173" s="15"/>
      <c r="K173" s="15"/>
      <c r="L173" s="15"/>
      <c r="M173" s="15"/>
      <c r="N173" s="15"/>
    </row>
    <row r="174" spans="1:14" ht="15.6" x14ac:dyDescent="0.3">
      <c r="H174" s="15"/>
      <c r="I174" s="15"/>
      <c r="J174" s="15"/>
      <c r="K174" s="110">
        <f>150000+65000+12000+75000+100000+50000+64000+109000</f>
        <v>625000</v>
      </c>
      <c r="L174" s="15"/>
      <c r="M174" s="15"/>
      <c r="N174" s="15"/>
    </row>
    <row r="177" spans="8:16" ht="15.6" x14ac:dyDescent="0.3">
      <c r="H177" s="54"/>
      <c r="I177" s="249" t="s">
        <v>37</v>
      </c>
      <c r="J177" s="285" t="s">
        <v>432</v>
      </c>
      <c r="K177" s="285"/>
      <c r="L177" s="54"/>
      <c r="M177" s="54" t="s">
        <v>540</v>
      </c>
      <c r="N177" s="15"/>
      <c r="O177" s="15"/>
      <c r="P177" s="15"/>
    </row>
    <row r="178" spans="8:16" ht="15.6" x14ac:dyDescent="0.3">
      <c r="H178" s="7" t="s">
        <v>40</v>
      </c>
      <c r="I178" s="7" t="s">
        <v>6</v>
      </c>
      <c r="J178" s="41" t="s">
        <v>41</v>
      </c>
      <c r="K178" s="41" t="s">
        <v>42</v>
      </c>
      <c r="L178" s="7" t="s">
        <v>442</v>
      </c>
      <c r="M178" s="7" t="s">
        <v>7</v>
      </c>
      <c r="N178" s="15"/>
      <c r="O178" s="190" t="s">
        <v>434</v>
      </c>
      <c r="P178" s="15"/>
    </row>
    <row r="179" spans="8:16" ht="31.2" x14ac:dyDescent="0.3">
      <c r="H179" s="7"/>
      <c r="I179" s="7"/>
      <c r="J179" s="41">
        <f>1225000+360000</f>
        <v>1585000</v>
      </c>
      <c r="K179" s="41"/>
      <c r="L179" s="7">
        <f>J179-K179</f>
        <v>1585000</v>
      </c>
      <c r="M179" s="113" t="s">
        <v>538</v>
      </c>
      <c r="N179" s="15"/>
      <c r="O179" s="15"/>
      <c r="P179" s="15"/>
    </row>
    <row r="180" spans="8:16" ht="15.6" x14ac:dyDescent="0.3">
      <c r="H180" s="7"/>
      <c r="I180" s="8"/>
      <c r="J180" s="41"/>
      <c r="K180" s="41"/>
      <c r="L180" s="7">
        <f>L179-K180</f>
        <v>1585000</v>
      </c>
      <c r="M180" s="7"/>
      <c r="N180" s="15"/>
      <c r="O180" s="190"/>
      <c r="P180" s="15"/>
    </row>
    <row r="181" spans="8:16" ht="15.6" x14ac:dyDescent="0.3">
      <c r="H181" s="48">
        <v>1</v>
      </c>
      <c r="I181" s="46">
        <v>45427</v>
      </c>
      <c r="J181" s="47"/>
      <c r="K181" s="47">
        <f>75000+40000</f>
        <v>115000</v>
      </c>
      <c r="L181" s="48">
        <f>L180-K181</f>
        <v>1470000</v>
      </c>
      <c r="M181" s="48" t="s">
        <v>45</v>
      </c>
      <c r="N181" s="204"/>
      <c r="O181" s="205">
        <v>40000</v>
      </c>
      <c r="P181" s="15"/>
    </row>
    <row r="182" spans="8:16" ht="15.6" x14ac:dyDescent="0.3">
      <c r="H182" s="7">
        <v>2</v>
      </c>
      <c r="I182" s="8">
        <v>45458</v>
      </c>
      <c r="J182" s="41"/>
      <c r="K182" s="41">
        <v>50000</v>
      </c>
      <c r="L182" s="7">
        <f t="shared" ref="L182:L204" si="8">L181-K182</f>
        <v>1420000</v>
      </c>
      <c r="M182" s="52" t="s">
        <v>45</v>
      </c>
      <c r="N182" s="15"/>
      <c r="O182" s="190"/>
      <c r="P182" s="15"/>
    </row>
    <row r="183" spans="8:16" ht="15.6" x14ac:dyDescent="0.3">
      <c r="H183" s="48">
        <v>3</v>
      </c>
      <c r="I183" s="46">
        <v>45488</v>
      </c>
      <c r="J183" s="47"/>
      <c r="K183" s="47">
        <f>50000+50000</f>
        <v>100000</v>
      </c>
      <c r="L183" s="48">
        <f t="shared" si="8"/>
        <v>1320000</v>
      </c>
      <c r="M183" s="48" t="s">
        <v>45</v>
      </c>
      <c r="N183" s="204"/>
      <c r="O183" s="205">
        <v>50000</v>
      </c>
      <c r="P183" s="15"/>
    </row>
    <row r="184" spans="8:16" ht="15.6" x14ac:dyDescent="0.3">
      <c r="H184" s="7">
        <v>4</v>
      </c>
      <c r="I184" s="8">
        <v>45519</v>
      </c>
      <c r="J184" s="41"/>
      <c r="K184" s="41">
        <v>50000</v>
      </c>
      <c r="L184" s="7">
        <f t="shared" si="8"/>
        <v>1270000</v>
      </c>
      <c r="M184" s="7" t="s">
        <v>418</v>
      </c>
      <c r="N184" s="15"/>
      <c r="O184" s="190"/>
      <c r="P184" s="15"/>
    </row>
    <row r="185" spans="8:16" ht="15.6" x14ac:dyDescent="0.3">
      <c r="H185" s="48">
        <v>5</v>
      </c>
      <c r="I185" s="46">
        <v>45550</v>
      </c>
      <c r="J185" s="47"/>
      <c r="K185" s="47">
        <f>50000+50000</f>
        <v>100000</v>
      </c>
      <c r="L185" s="48">
        <f t="shared" si="8"/>
        <v>1170000</v>
      </c>
      <c r="M185" s="281" t="s">
        <v>136</v>
      </c>
      <c r="N185" s="204"/>
      <c r="O185" s="205">
        <v>50000</v>
      </c>
      <c r="P185" s="15"/>
    </row>
    <row r="186" spans="8:16" ht="15.6" x14ac:dyDescent="0.3">
      <c r="H186" s="7">
        <v>6</v>
      </c>
      <c r="I186" s="8">
        <v>45580</v>
      </c>
      <c r="J186" s="41"/>
      <c r="K186" s="41">
        <v>50000</v>
      </c>
      <c r="L186" s="7">
        <f t="shared" si="8"/>
        <v>1120000</v>
      </c>
      <c r="M186" s="281"/>
      <c r="N186" s="15"/>
      <c r="O186" s="190"/>
      <c r="P186" s="15"/>
    </row>
    <row r="187" spans="8:16" ht="15.6" x14ac:dyDescent="0.3">
      <c r="H187" s="48">
        <v>7</v>
      </c>
      <c r="I187" s="46">
        <v>45611</v>
      </c>
      <c r="J187" s="47"/>
      <c r="K187" s="47">
        <f>50000+50000</f>
        <v>100000</v>
      </c>
      <c r="L187" s="48">
        <f t="shared" si="8"/>
        <v>1020000</v>
      </c>
      <c r="M187" s="281"/>
      <c r="N187" s="204"/>
      <c r="O187" s="205">
        <v>50000</v>
      </c>
      <c r="P187" s="15"/>
    </row>
    <row r="188" spans="8:16" ht="15.6" x14ac:dyDescent="0.3">
      <c r="H188" s="7">
        <v>8</v>
      </c>
      <c r="I188" s="8">
        <v>45641</v>
      </c>
      <c r="J188" s="41"/>
      <c r="K188" s="42">
        <v>50000</v>
      </c>
      <c r="L188" s="7">
        <f t="shared" si="8"/>
        <v>970000</v>
      </c>
      <c r="M188" s="176" t="s">
        <v>136</v>
      </c>
      <c r="N188" s="15"/>
      <c r="O188" s="190"/>
      <c r="P188" s="15"/>
    </row>
    <row r="189" spans="8:16" ht="15.6" x14ac:dyDescent="0.3">
      <c r="H189" s="7">
        <v>9</v>
      </c>
      <c r="I189" s="8">
        <v>45672</v>
      </c>
      <c r="J189" s="41"/>
      <c r="K189" s="41">
        <v>50000</v>
      </c>
      <c r="L189" s="7">
        <f t="shared" si="8"/>
        <v>920000</v>
      </c>
      <c r="M189" s="7"/>
      <c r="N189" s="15"/>
      <c r="O189" s="190"/>
      <c r="P189" s="15"/>
    </row>
    <row r="190" spans="8:16" ht="15.6" x14ac:dyDescent="0.3">
      <c r="H190" s="48">
        <v>10</v>
      </c>
      <c r="I190" s="46">
        <v>45703</v>
      </c>
      <c r="J190" s="47"/>
      <c r="K190" s="47">
        <f>50000+50000</f>
        <v>100000</v>
      </c>
      <c r="L190" s="48">
        <f t="shared" si="8"/>
        <v>820000</v>
      </c>
      <c r="M190" s="48" t="s">
        <v>425</v>
      </c>
      <c r="N190" s="204"/>
      <c r="O190" s="205">
        <v>50000</v>
      </c>
      <c r="P190" s="15"/>
    </row>
    <row r="191" spans="8:16" ht="15.6" x14ac:dyDescent="0.3">
      <c r="H191" s="7">
        <v>11</v>
      </c>
      <c r="I191" s="8">
        <v>45731</v>
      </c>
      <c r="J191" s="41"/>
      <c r="K191" s="41">
        <v>50000</v>
      </c>
      <c r="L191" s="7">
        <f t="shared" si="8"/>
        <v>770000</v>
      </c>
      <c r="M191" s="7"/>
      <c r="N191" s="15"/>
      <c r="O191" s="190"/>
      <c r="P191" s="15"/>
    </row>
    <row r="192" spans="8:16" ht="15.6" x14ac:dyDescent="0.3">
      <c r="H192" s="48">
        <v>12</v>
      </c>
      <c r="I192" s="46">
        <v>45762</v>
      </c>
      <c r="J192" s="47"/>
      <c r="K192" s="47">
        <f>50000+50000</f>
        <v>100000</v>
      </c>
      <c r="L192" s="48">
        <f t="shared" si="8"/>
        <v>670000</v>
      </c>
      <c r="M192" s="48"/>
      <c r="N192" s="204"/>
      <c r="O192" s="205">
        <v>50000</v>
      </c>
      <c r="P192" s="15"/>
    </row>
    <row r="193" spans="8:16" ht="15.6" x14ac:dyDescent="0.3">
      <c r="H193" s="7">
        <v>13</v>
      </c>
      <c r="I193" s="8">
        <v>45792</v>
      </c>
      <c r="J193" s="41"/>
      <c r="K193" s="41">
        <v>50000</v>
      </c>
      <c r="L193" s="7">
        <f t="shared" si="8"/>
        <v>620000</v>
      </c>
      <c r="M193" s="7"/>
      <c r="N193" s="15"/>
      <c r="O193" s="190"/>
      <c r="P193" s="15"/>
    </row>
    <row r="194" spans="8:16" ht="15.6" x14ac:dyDescent="0.3">
      <c r="H194" s="7">
        <v>14</v>
      </c>
      <c r="I194" s="8">
        <v>45823</v>
      </c>
      <c r="J194" s="41"/>
      <c r="K194" s="41">
        <v>50000</v>
      </c>
      <c r="L194" s="7">
        <f t="shared" si="8"/>
        <v>570000</v>
      </c>
      <c r="M194" s="7" t="s">
        <v>416</v>
      </c>
      <c r="N194" s="15"/>
      <c r="O194" s="190"/>
      <c r="P194" s="15"/>
    </row>
    <row r="195" spans="8:16" ht="15.6" x14ac:dyDescent="0.3">
      <c r="H195" s="48">
        <v>15</v>
      </c>
      <c r="I195" s="46">
        <v>45853</v>
      </c>
      <c r="J195" s="47"/>
      <c r="K195" s="47">
        <f>50000+70000</f>
        <v>120000</v>
      </c>
      <c r="L195" s="48">
        <f t="shared" si="8"/>
        <v>450000</v>
      </c>
      <c r="M195" s="7" t="s">
        <v>416</v>
      </c>
      <c r="N195" s="204"/>
      <c r="O195" s="205">
        <v>70000</v>
      </c>
      <c r="P195" s="15"/>
    </row>
    <row r="196" spans="8:16" ht="15.6" x14ac:dyDescent="0.3">
      <c r="H196" s="7">
        <v>16</v>
      </c>
      <c r="I196" s="8">
        <v>45884</v>
      </c>
      <c r="J196" s="41"/>
      <c r="K196" s="41">
        <v>50000</v>
      </c>
      <c r="L196" s="7">
        <f t="shared" si="8"/>
        <v>400000</v>
      </c>
      <c r="M196" s="7" t="s">
        <v>416</v>
      </c>
      <c r="N196" s="15"/>
      <c r="O196" s="190"/>
      <c r="P196" s="15"/>
    </row>
    <row r="197" spans="8:16" ht="15.6" x14ac:dyDescent="0.3">
      <c r="H197" s="7">
        <v>17</v>
      </c>
      <c r="I197" s="8">
        <v>45915</v>
      </c>
      <c r="J197" s="41"/>
      <c r="K197" s="41">
        <v>50000</v>
      </c>
      <c r="L197" s="7">
        <f t="shared" si="8"/>
        <v>350000</v>
      </c>
      <c r="M197" s="7" t="s">
        <v>416</v>
      </c>
      <c r="N197" s="15"/>
      <c r="O197" s="190"/>
      <c r="P197" s="190"/>
    </row>
    <row r="198" spans="8:16" ht="15.6" x14ac:dyDescent="0.3">
      <c r="H198" s="7">
        <v>18</v>
      </c>
      <c r="I198" s="8">
        <v>45945</v>
      </c>
      <c r="J198" s="41"/>
      <c r="K198" s="41">
        <v>50000</v>
      </c>
      <c r="L198" s="7">
        <f t="shared" si="8"/>
        <v>300000</v>
      </c>
      <c r="M198" s="7" t="s">
        <v>416</v>
      </c>
      <c r="N198" s="15"/>
      <c r="O198" s="190">
        <f>SUM(O181:O197)</f>
        <v>360000</v>
      </c>
      <c r="P198" s="190" t="s">
        <v>435</v>
      </c>
    </row>
    <row r="199" spans="8:16" ht="15.6" x14ac:dyDescent="0.3">
      <c r="H199" s="7">
        <v>19</v>
      </c>
      <c r="I199" s="8">
        <v>45976</v>
      </c>
      <c r="J199" s="41"/>
      <c r="K199" s="41">
        <v>50000</v>
      </c>
      <c r="L199" s="7">
        <f t="shared" si="8"/>
        <v>250000</v>
      </c>
      <c r="M199" s="7" t="s">
        <v>416</v>
      </c>
      <c r="N199" s="15"/>
      <c r="O199" s="15"/>
      <c r="P199" s="15"/>
    </row>
    <row r="200" spans="8:16" ht="15.6" x14ac:dyDescent="0.3">
      <c r="H200" s="7">
        <v>20</v>
      </c>
      <c r="I200" s="8">
        <v>46006</v>
      </c>
      <c r="J200" s="41"/>
      <c r="K200" s="41">
        <v>50000</v>
      </c>
      <c r="L200" s="7">
        <f t="shared" si="8"/>
        <v>200000</v>
      </c>
      <c r="M200" s="7" t="s">
        <v>416</v>
      </c>
      <c r="N200" s="15"/>
      <c r="O200" s="15"/>
      <c r="P200" s="15"/>
    </row>
    <row r="201" spans="8:16" ht="15.6" x14ac:dyDescent="0.3">
      <c r="H201" s="7">
        <v>21</v>
      </c>
      <c r="I201" s="8">
        <v>46037</v>
      </c>
      <c r="J201" s="41"/>
      <c r="K201" s="41">
        <v>50000</v>
      </c>
      <c r="L201" s="7">
        <f t="shared" si="8"/>
        <v>150000</v>
      </c>
      <c r="M201" s="7" t="s">
        <v>416</v>
      </c>
      <c r="N201" s="15"/>
      <c r="O201" s="15"/>
      <c r="P201" s="15"/>
    </row>
    <row r="202" spans="8:16" ht="15.6" x14ac:dyDescent="0.3">
      <c r="H202" s="7">
        <v>22</v>
      </c>
      <c r="I202" s="8">
        <v>46068</v>
      </c>
      <c r="J202" s="41"/>
      <c r="K202" s="41">
        <v>50000</v>
      </c>
      <c r="L202" s="7">
        <f t="shared" si="8"/>
        <v>100000</v>
      </c>
      <c r="M202" s="7"/>
      <c r="N202" s="15"/>
      <c r="O202" s="15"/>
      <c r="P202" s="15"/>
    </row>
    <row r="203" spans="8:16" ht="15.6" x14ac:dyDescent="0.3">
      <c r="H203" s="7">
        <v>23</v>
      </c>
      <c r="I203" s="8">
        <v>46096</v>
      </c>
      <c r="J203" s="41"/>
      <c r="K203" s="41">
        <v>50000</v>
      </c>
      <c r="L203" s="7">
        <f t="shared" si="8"/>
        <v>50000</v>
      </c>
      <c r="M203" s="7"/>
      <c r="N203" s="15"/>
      <c r="O203" s="15"/>
      <c r="P203" s="15"/>
    </row>
    <row r="204" spans="8:16" ht="15.6" x14ac:dyDescent="0.3">
      <c r="H204" s="7">
        <v>24</v>
      </c>
      <c r="I204" s="8">
        <v>46127</v>
      </c>
      <c r="J204" s="41"/>
      <c r="K204" s="41">
        <v>50000</v>
      </c>
      <c r="L204" s="7">
        <f t="shared" si="8"/>
        <v>0</v>
      </c>
      <c r="M204" s="7"/>
      <c r="N204" s="15"/>
      <c r="O204" s="15"/>
      <c r="P204" s="15"/>
    </row>
    <row r="208" spans="8:16" ht="15.6" x14ac:dyDescent="0.3">
      <c r="H208" s="6"/>
      <c r="I208" s="5" t="s">
        <v>37</v>
      </c>
      <c r="J208" s="6" t="s">
        <v>436</v>
      </c>
      <c r="K208" s="272" t="s">
        <v>433</v>
      </c>
      <c r="L208" s="272"/>
      <c r="M208" s="7" t="s">
        <v>7</v>
      </c>
    </row>
    <row r="209" spans="8:13" ht="31.2" x14ac:dyDescent="0.3">
      <c r="H209" s="7" t="s">
        <v>40</v>
      </c>
      <c r="I209" s="7" t="s">
        <v>6</v>
      </c>
      <c r="J209" s="41" t="s">
        <v>41</v>
      </c>
      <c r="K209" s="41" t="s">
        <v>42</v>
      </c>
      <c r="L209" s="7" t="s">
        <v>43</v>
      </c>
      <c r="M209" s="113" t="s">
        <v>541</v>
      </c>
    </row>
    <row r="210" spans="8:13" ht="15.6" x14ac:dyDescent="0.3">
      <c r="H210" s="7"/>
      <c r="I210" s="7"/>
      <c r="J210" s="41">
        <v>3525000</v>
      </c>
      <c r="K210" s="41"/>
      <c r="L210" s="7">
        <f>J210-K210</f>
        <v>3525000</v>
      </c>
      <c r="M210" s="7" t="s">
        <v>44</v>
      </c>
    </row>
    <row r="211" spans="8:13" ht="15.6" x14ac:dyDescent="0.3">
      <c r="H211" s="7"/>
      <c r="I211" s="8"/>
      <c r="J211" s="41"/>
      <c r="K211" s="41">
        <v>800000</v>
      </c>
      <c r="L211" s="7">
        <f>L210-K211</f>
        <v>2725000</v>
      </c>
      <c r="M211" s="7" t="s">
        <v>58</v>
      </c>
    </row>
    <row r="212" spans="8:13" ht="15.6" x14ac:dyDescent="0.3">
      <c r="H212" s="7">
        <v>1</v>
      </c>
      <c r="I212" s="46">
        <v>45337</v>
      </c>
      <c r="J212" s="47"/>
      <c r="K212" s="47">
        <f>109000</f>
        <v>109000</v>
      </c>
      <c r="L212" s="48">
        <f t="shared" ref="L212:L236" si="9">L211-K212</f>
        <v>2616000</v>
      </c>
      <c r="M212" s="193" t="s">
        <v>437</v>
      </c>
    </row>
    <row r="213" spans="8:13" ht="15.6" x14ac:dyDescent="0.3">
      <c r="H213" s="7">
        <v>2</v>
      </c>
      <c r="I213" s="46">
        <v>45366</v>
      </c>
      <c r="J213" s="47"/>
      <c r="K213" s="47">
        <f t="shared" ref="K213:K235" si="10">109000</f>
        <v>109000</v>
      </c>
      <c r="L213" s="48">
        <f t="shared" si="9"/>
        <v>2507000</v>
      </c>
      <c r="M213" s="193">
        <v>45398</v>
      </c>
    </row>
    <row r="214" spans="8:13" ht="15.6" x14ac:dyDescent="0.3">
      <c r="H214" s="7">
        <v>3</v>
      </c>
      <c r="I214" s="46">
        <v>45397</v>
      </c>
      <c r="J214" s="47"/>
      <c r="K214" s="47">
        <f t="shared" si="10"/>
        <v>109000</v>
      </c>
      <c r="L214" s="48">
        <f t="shared" si="9"/>
        <v>2398000</v>
      </c>
      <c r="M214" s="193"/>
    </row>
    <row r="215" spans="8:13" ht="15.6" x14ac:dyDescent="0.3">
      <c r="H215" s="7">
        <v>4</v>
      </c>
      <c r="I215" s="46">
        <v>45427</v>
      </c>
      <c r="J215" s="47"/>
      <c r="K215" s="47">
        <f t="shared" si="10"/>
        <v>109000</v>
      </c>
      <c r="L215" s="48">
        <f t="shared" si="9"/>
        <v>2289000</v>
      </c>
      <c r="M215" s="48"/>
    </row>
    <row r="216" spans="8:13" ht="15.6" x14ac:dyDescent="0.3">
      <c r="H216" s="7">
        <v>5</v>
      </c>
      <c r="I216" s="46">
        <v>45458</v>
      </c>
      <c r="J216" s="47"/>
      <c r="K216" s="47">
        <f t="shared" si="10"/>
        <v>109000</v>
      </c>
      <c r="L216" s="48">
        <f t="shared" si="9"/>
        <v>2180000</v>
      </c>
      <c r="M216" s="193">
        <v>45455</v>
      </c>
    </row>
    <row r="217" spans="8:13" ht="15.6" x14ac:dyDescent="0.3">
      <c r="H217" s="7">
        <v>6</v>
      </c>
      <c r="I217" s="46">
        <v>45488</v>
      </c>
      <c r="J217" s="47"/>
      <c r="K217" s="47">
        <f t="shared" si="10"/>
        <v>109000</v>
      </c>
      <c r="L217" s="48">
        <f t="shared" si="9"/>
        <v>2071000</v>
      </c>
      <c r="M217" s="48" t="s">
        <v>438</v>
      </c>
    </row>
    <row r="218" spans="8:13" ht="15.6" x14ac:dyDescent="0.3">
      <c r="H218" s="7">
        <v>7</v>
      </c>
      <c r="I218" s="46">
        <v>45519</v>
      </c>
      <c r="J218" s="47"/>
      <c r="K218" s="47">
        <f t="shared" si="10"/>
        <v>109000</v>
      </c>
      <c r="L218" s="48">
        <f t="shared" si="9"/>
        <v>1962000</v>
      </c>
      <c r="M218" s="48" t="s">
        <v>418</v>
      </c>
    </row>
    <row r="219" spans="8:13" ht="15.6" x14ac:dyDescent="0.3">
      <c r="H219" s="7">
        <v>8</v>
      </c>
      <c r="I219" s="8">
        <v>45550</v>
      </c>
      <c r="J219" s="41"/>
      <c r="K219" s="49">
        <f t="shared" si="10"/>
        <v>109000</v>
      </c>
      <c r="L219" s="7">
        <f t="shared" si="9"/>
        <v>1853000</v>
      </c>
      <c r="M219" s="7" t="s">
        <v>66</v>
      </c>
    </row>
    <row r="220" spans="8:13" ht="15.6" x14ac:dyDescent="0.3">
      <c r="H220" s="7">
        <v>9</v>
      </c>
      <c r="I220" s="8">
        <v>45580</v>
      </c>
      <c r="J220" s="41"/>
      <c r="K220" s="49">
        <f t="shared" si="10"/>
        <v>109000</v>
      </c>
      <c r="L220" s="7">
        <f t="shared" si="9"/>
        <v>1744000</v>
      </c>
      <c r="M220" s="7" t="s">
        <v>66</v>
      </c>
    </row>
    <row r="221" spans="8:13" ht="15.6" x14ac:dyDescent="0.3">
      <c r="H221" s="7">
        <v>10</v>
      </c>
      <c r="I221" s="8">
        <v>45611</v>
      </c>
      <c r="J221" s="41"/>
      <c r="K221" s="49">
        <f t="shared" si="10"/>
        <v>109000</v>
      </c>
      <c r="L221" s="7">
        <f t="shared" si="9"/>
        <v>1635000</v>
      </c>
      <c r="M221" s="7" t="s">
        <v>66</v>
      </c>
    </row>
    <row r="222" spans="8:13" ht="15.6" x14ac:dyDescent="0.3">
      <c r="H222" s="7">
        <v>11</v>
      </c>
      <c r="I222" s="8">
        <v>45641</v>
      </c>
      <c r="J222" s="41"/>
      <c r="K222" s="42">
        <f t="shared" si="10"/>
        <v>109000</v>
      </c>
      <c r="L222" s="7">
        <f t="shared" si="9"/>
        <v>1526000</v>
      </c>
      <c r="M222" s="7" t="s">
        <v>66</v>
      </c>
    </row>
    <row r="223" spans="8:13" ht="15.6" x14ac:dyDescent="0.3">
      <c r="H223" s="7">
        <v>12</v>
      </c>
      <c r="I223" s="8">
        <v>45672</v>
      </c>
      <c r="J223" s="41"/>
      <c r="K223" s="41">
        <f t="shared" si="10"/>
        <v>109000</v>
      </c>
      <c r="L223" s="7">
        <f t="shared" si="9"/>
        <v>1417000</v>
      </c>
      <c r="M223" s="7"/>
    </row>
    <row r="224" spans="8:13" ht="15.6" x14ac:dyDescent="0.3">
      <c r="H224" s="7">
        <v>13</v>
      </c>
      <c r="I224" s="8">
        <v>45703</v>
      </c>
      <c r="J224" s="41"/>
      <c r="K224" s="41">
        <f t="shared" si="10"/>
        <v>109000</v>
      </c>
      <c r="L224" s="7">
        <f t="shared" si="9"/>
        <v>1308000</v>
      </c>
      <c r="M224" s="7" t="s">
        <v>425</v>
      </c>
    </row>
    <row r="225" spans="8:13" ht="15.6" x14ac:dyDescent="0.3">
      <c r="H225" s="7">
        <v>14</v>
      </c>
      <c r="I225" s="8">
        <v>45731</v>
      </c>
      <c r="J225" s="41"/>
      <c r="K225" s="41">
        <f t="shared" si="10"/>
        <v>109000</v>
      </c>
      <c r="L225" s="7">
        <f t="shared" si="9"/>
        <v>1199000</v>
      </c>
      <c r="M225" s="7"/>
    </row>
    <row r="226" spans="8:13" ht="15.6" x14ac:dyDescent="0.3">
      <c r="H226" s="7">
        <v>15</v>
      </c>
      <c r="I226" s="8">
        <v>45762</v>
      </c>
      <c r="J226" s="41"/>
      <c r="K226" s="41">
        <f t="shared" si="10"/>
        <v>109000</v>
      </c>
      <c r="L226" s="7">
        <f t="shared" si="9"/>
        <v>1090000</v>
      </c>
      <c r="M226" s="7"/>
    </row>
    <row r="227" spans="8:13" ht="15.6" x14ac:dyDescent="0.3">
      <c r="H227" s="7">
        <v>16</v>
      </c>
      <c r="I227" s="8">
        <v>45792</v>
      </c>
      <c r="J227" s="41"/>
      <c r="K227" s="41">
        <f t="shared" si="10"/>
        <v>109000</v>
      </c>
      <c r="L227" s="7">
        <f t="shared" si="9"/>
        <v>981000</v>
      </c>
      <c r="M227" s="7"/>
    </row>
    <row r="228" spans="8:13" ht="15.6" x14ac:dyDescent="0.3">
      <c r="H228" s="7">
        <v>17</v>
      </c>
      <c r="I228" s="8">
        <v>45823</v>
      </c>
      <c r="J228" s="41"/>
      <c r="K228" s="41">
        <f t="shared" si="10"/>
        <v>109000</v>
      </c>
      <c r="L228" s="7">
        <f t="shared" si="9"/>
        <v>872000</v>
      </c>
      <c r="M228" s="7"/>
    </row>
    <row r="229" spans="8:13" ht="15.6" x14ac:dyDescent="0.3">
      <c r="H229" s="7">
        <v>18</v>
      </c>
      <c r="I229" s="8">
        <v>45853</v>
      </c>
      <c r="J229" s="41"/>
      <c r="K229" s="41">
        <f t="shared" si="10"/>
        <v>109000</v>
      </c>
      <c r="L229" s="7">
        <f t="shared" si="9"/>
        <v>763000</v>
      </c>
      <c r="M229" s="7"/>
    </row>
    <row r="230" spans="8:13" ht="15.6" x14ac:dyDescent="0.3">
      <c r="H230" s="7">
        <v>19</v>
      </c>
      <c r="I230" s="8">
        <v>45884</v>
      </c>
      <c r="J230" s="41"/>
      <c r="K230" s="41">
        <f t="shared" si="10"/>
        <v>109000</v>
      </c>
      <c r="L230" s="7">
        <f t="shared" si="9"/>
        <v>654000</v>
      </c>
      <c r="M230" s="7" t="s">
        <v>439</v>
      </c>
    </row>
    <row r="231" spans="8:13" ht="15.6" x14ac:dyDescent="0.3">
      <c r="H231" s="7">
        <v>20</v>
      </c>
      <c r="I231" s="8">
        <v>45915</v>
      </c>
      <c r="J231" s="41"/>
      <c r="K231" s="41">
        <f t="shared" si="10"/>
        <v>109000</v>
      </c>
      <c r="L231" s="7">
        <f t="shared" si="9"/>
        <v>545000</v>
      </c>
      <c r="M231" s="7" t="s">
        <v>439</v>
      </c>
    </row>
    <row r="232" spans="8:13" ht="15.6" x14ac:dyDescent="0.3">
      <c r="H232" s="7">
        <v>21</v>
      </c>
      <c r="I232" s="8">
        <v>45945</v>
      </c>
      <c r="J232" s="41"/>
      <c r="K232" s="41">
        <f t="shared" si="10"/>
        <v>109000</v>
      </c>
      <c r="L232" s="7">
        <f t="shared" si="9"/>
        <v>436000</v>
      </c>
      <c r="M232" s="7" t="s">
        <v>439</v>
      </c>
    </row>
    <row r="233" spans="8:13" ht="15.6" x14ac:dyDescent="0.3">
      <c r="H233" s="7">
        <v>22</v>
      </c>
      <c r="I233" s="8">
        <v>45976</v>
      </c>
      <c r="J233" s="41"/>
      <c r="K233" s="41">
        <f t="shared" si="10"/>
        <v>109000</v>
      </c>
      <c r="L233" s="7">
        <f t="shared" si="9"/>
        <v>327000</v>
      </c>
      <c r="M233" s="7" t="s">
        <v>439</v>
      </c>
    </row>
    <row r="234" spans="8:13" ht="15.6" x14ac:dyDescent="0.3">
      <c r="H234" s="7">
        <v>23</v>
      </c>
      <c r="I234" s="8">
        <v>46006</v>
      </c>
      <c r="J234" s="41"/>
      <c r="K234" s="41">
        <f t="shared" si="10"/>
        <v>109000</v>
      </c>
      <c r="L234" s="7">
        <f t="shared" si="9"/>
        <v>218000</v>
      </c>
      <c r="M234" s="7" t="s">
        <v>439</v>
      </c>
    </row>
    <row r="235" spans="8:13" ht="15.6" x14ac:dyDescent="0.3">
      <c r="H235" s="7">
        <v>24</v>
      </c>
      <c r="I235" s="8">
        <v>46037</v>
      </c>
      <c r="J235" s="41"/>
      <c r="K235" s="41">
        <f t="shared" si="10"/>
        <v>109000</v>
      </c>
      <c r="L235" s="7">
        <f t="shared" si="9"/>
        <v>109000</v>
      </c>
      <c r="M235" s="7" t="s">
        <v>439</v>
      </c>
    </row>
    <row r="236" spans="8:13" ht="15.6" x14ac:dyDescent="0.3">
      <c r="H236" s="7">
        <v>25</v>
      </c>
      <c r="I236" s="8">
        <v>46068</v>
      </c>
      <c r="J236" s="41"/>
      <c r="K236" s="49"/>
      <c r="L236" s="7">
        <f t="shared" si="9"/>
        <v>109000</v>
      </c>
      <c r="M236" s="7"/>
    </row>
    <row r="241" spans="8:13" ht="15.6" x14ac:dyDescent="0.3">
      <c r="H241" s="54"/>
      <c r="I241" s="249" t="s">
        <v>37</v>
      </c>
      <c r="J241" s="54" t="s">
        <v>440</v>
      </c>
      <c r="K241" s="282" t="s">
        <v>441</v>
      </c>
      <c r="L241" s="282"/>
      <c r="M241" s="249" t="s">
        <v>7</v>
      </c>
    </row>
    <row r="242" spans="8:13" ht="31.2" x14ac:dyDescent="0.3">
      <c r="H242" s="7" t="s">
        <v>40</v>
      </c>
      <c r="I242" s="7" t="s">
        <v>6</v>
      </c>
      <c r="J242" s="41" t="s">
        <v>41</v>
      </c>
      <c r="K242" s="41" t="s">
        <v>42</v>
      </c>
      <c r="L242" s="7" t="s">
        <v>43</v>
      </c>
      <c r="M242" s="113" t="s">
        <v>538</v>
      </c>
    </row>
    <row r="243" spans="8:13" ht="15.6" x14ac:dyDescent="0.3">
      <c r="H243" s="7"/>
      <c r="I243" s="7"/>
      <c r="J243" s="41">
        <f>64000*25</f>
        <v>1600000</v>
      </c>
      <c r="K243" s="41"/>
      <c r="L243" s="7">
        <f>J243-K243</f>
        <v>1600000</v>
      </c>
      <c r="M243" s="7" t="s">
        <v>44</v>
      </c>
    </row>
    <row r="244" spans="8:13" ht="15.6" x14ac:dyDescent="0.3">
      <c r="H244" s="7"/>
      <c r="I244" s="8"/>
      <c r="J244" s="41"/>
      <c r="K244" s="41"/>
      <c r="L244" s="7">
        <f>L243-K244</f>
        <v>1600000</v>
      </c>
      <c r="M244" s="7"/>
    </row>
    <row r="245" spans="8:13" ht="15.6" x14ac:dyDescent="0.3">
      <c r="H245" s="7">
        <v>1</v>
      </c>
      <c r="I245" s="8">
        <v>45488</v>
      </c>
      <c r="J245" s="41"/>
      <c r="K245" s="41">
        <v>64000</v>
      </c>
      <c r="L245" s="7">
        <f t="shared" ref="L245:L269" si="11">L244-K245</f>
        <v>1536000</v>
      </c>
      <c r="M245" s="52" t="s">
        <v>45</v>
      </c>
    </row>
    <row r="246" spans="8:13" ht="15.6" x14ac:dyDescent="0.3">
      <c r="H246" s="7">
        <v>2</v>
      </c>
      <c r="I246" s="8">
        <v>45519</v>
      </c>
      <c r="J246" s="41"/>
      <c r="K246" s="41">
        <v>64000</v>
      </c>
      <c r="L246" s="7">
        <f t="shared" si="11"/>
        <v>1472000</v>
      </c>
      <c r="M246" s="7" t="s">
        <v>418</v>
      </c>
    </row>
    <row r="247" spans="8:13" ht="15.6" x14ac:dyDescent="0.3">
      <c r="H247" s="7">
        <v>3</v>
      </c>
      <c r="I247" s="8">
        <v>45550</v>
      </c>
      <c r="J247" s="41"/>
      <c r="K247" s="49">
        <v>64000</v>
      </c>
      <c r="L247" s="7">
        <f t="shared" si="11"/>
        <v>1408000</v>
      </c>
      <c r="M247" s="7" t="s">
        <v>136</v>
      </c>
    </row>
    <row r="248" spans="8:13" ht="15.6" x14ac:dyDescent="0.3">
      <c r="H248" s="7">
        <v>4</v>
      </c>
      <c r="I248" s="8">
        <v>45580</v>
      </c>
      <c r="J248" s="41"/>
      <c r="K248" s="49">
        <v>64000</v>
      </c>
      <c r="L248" s="7">
        <f t="shared" si="11"/>
        <v>1344000</v>
      </c>
      <c r="M248" s="7" t="s">
        <v>136</v>
      </c>
    </row>
    <row r="249" spans="8:13" ht="15.6" x14ac:dyDescent="0.3">
      <c r="H249" s="7">
        <v>5</v>
      </c>
      <c r="I249" s="8">
        <v>45611</v>
      </c>
      <c r="J249" s="41"/>
      <c r="K249" s="49">
        <v>64000</v>
      </c>
      <c r="L249" s="7">
        <f t="shared" si="11"/>
        <v>1280000</v>
      </c>
      <c r="M249" s="7" t="s">
        <v>136</v>
      </c>
    </row>
    <row r="250" spans="8:13" ht="15.6" x14ac:dyDescent="0.3">
      <c r="H250" s="7">
        <v>6</v>
      </c>
      <c r="I250" s="8">
        <v>45641</v>
      </c>
      <c r="J250" s="41"/>
      <c r="K250" s="42">
        <v>64000</v>
      </c>
      <c r="L250" s="7">
        <f t="shared" si="11"/>
        <v>1216000</v>
      </c>
      <c r="M250" s="7" t="s">
        <v>136</v>
      </c>
    </row>
    <row r="251" spans="8:13" ht="15.6" x14ac:dyDescent="0.3">
      <c r="H251" s="7">
        <v>7</v>
      </c>
      <c r="I251" s="8">
        <v>45672</v>
      </c>
      <c r="J251" s="41"/>
      <c r="K251" s="41">
        <v>64000</v>
      </c>
      <c r="L251" s="7">
        <f t="shared" si="11"/>
        <v>1152000</v>
      </c>
      <c r="M251" s="7" t="s">
        <v>425</v>
      </c>
    </row>
    <row r="252" spans="8:13" ht="15.6" x14ac:dyDescent="0.3">
      <c r="H252" s="7">
        <v>8</v>
      </c>
      <c r="I252" s="8">
        <v>45703</v>
      </c>
      <c r="J252" s="41"/>
      <c r="K252" s="41">
        <v>64000</v>
      </c>
      <c r="L252" s="7">
        <f t="shared" si="11"/>
        <v>1088000</v>
      </c>
      <c r="M252" s="7"/>
    </row>
    <row r="253" spans="8:13" ht="15.6" x14ac:dyDescent="0.3">
      <c r="H253" s="7">
        <v>9</v>
      </c>
      <c r="I253" s="8">
        <v>45731</v>
      </c>
      <c r="J253" s="41"/>
      <c r="K253" s="41">
        <v>64000</v>
      </c>
      <c r="L253" s="7">
        <f t="shared" si="11"/>
        <v>1024000</v>
      </c>
      <c r="M253" s="7"/>
    </row>
    <row r="254" spans="8:13" ht="15.6" x14ac:dyDescent="0.3">
      <c r="H254" s="7">
        <v>10</v>
      </c>
      <c r="I254" s="8">
        <v>45762</v>
      </c>
      <c r="J254" s="41"/>
      <c r="K254" s="41">
        <v>64000</v>
      </c>
      <c r="L254" s="7">
        <f t="shared" si="11"/>
        <v>960000</v>
      </c>
      <c r="M254" s="7"/>
    </row>
    <row r="255" spans="8:13" ht="15.6" x14ac:dyDescent="0.3">
      <c r="H255" s="7">
        <v>11</v>
      </c>
      <c r="I255" s="8">
        <v>45792</v>
      </c>
      <c r="J255" s="41"/>
      <c r="K255" s="41">
        <v>64000</v>
      </c>
      <c r="L255" s="7">
        <f t="shared" si="11"/>
        <v>896000</v>
      </c>
      <c r="M255" s="7"/>
    </row>
    <row r="256" spans="8:13" ht="15.6" x14ac:dyDescent="0.3">
      <c r="H256" s="7">
        <v>12</v>
      </c>
      <c r="I256" s="8">
        <v>45823</v>
      </c>
      <c r="J256" s="41"/>
      <c r="K256" s="41">
        <v>64000</v>
      </c>
      <c r="L256" s="7">
        <f t="shared" si="11"/>
        <v>832000</v>
      </c>
      <c r="M256" s="7"/>
    </row>
    <row r="257" spans="8:13" ht="15.6" x14ac:dyDescent="0.3">
      <c r="H257" s="7">
        <v>13</v>
      </c>
      <c r="I257" s="8">
        <v>45853</v>
      </c>
      <c r="J257" s="41"/>
      <c r="K257" s="41">
        <v>64000</v>
      </c>
      <c r="L257" s="7">
        <f t="shared" si="11"/>
        <v>768000</v>
      </c>
      <c r="M257" s="7"/>
    </row>
    <row r="258" spans="8:13" ht="15.6" x14ac:dyDescent="0.3">
      <c r="H258" s="7">
        <v>14</v>
      </c>
      <c r="I258" s="8">
        <v>45884</v>
      </c>
      <c r="J258" s="41"/>
      <c r="K258" s="41">
        <v>64000</v>
      </c>
      <c r="L258" s="7">
        <f t="shared" si="11"/>
        <v>704000</v>
      </c>
      <c r="M258" s="7" t="s">
        <v>416</v>
      </c>
    </row>
    <row r="259" spans="8:13" ht="15.6" x14ac:dyDescent="0.3">
      <c r="H259" s="7">
        <v>15</v>
      </c>
      <c r="I259" s="8">
        <v>45915</v>
      </c>
      <c r="J259" s="41"/>
      <c r="K259" s="41">
        <v>64000</v>
      </c>
      <c r="L259" s="7">
        <f t="shared" si="11"/>
        <v>640000</v>
      </c>
      <c r="M259" s="7" t="s">
        <v>416</v>
      </c>
    </row>
    <row r="260" spans="8:13" ht="15.6" x14ac:dyDescent="0.3">
      <c r="H260" s="7">
        <v>16</v>
      </c>
      <c r="I260" s="8">
        <v>45945</v>
      </c>
      <c r="J260" s="41"/>
      <c r="K260" s="41">
        <v>64000</v>
      </c>
      <c r="L260" s="7">
        <f t="shared" si="11"/>
        <v>576000</v>
      </c>
      <c r="M260" s="7" t="s">
        <v>416</v>
      </c>
    </row>
    <row r="261" spans="8:13" ht="15.6" x14ac:dyDescent="0.3">
      <c r="H261" s="7">
        <v>17</v>
      </c>
      <c r="I261" s="8">
        <v>45976</v>
      </c>
      <c r="J261" s="41"/>
      <c r="K261" s="41">
        <v>64000</v>
      </c>
      <c r="L261" s="7">
        <f t="shared" si="11"/>
        <v>512000</v>
      </c>
      <c r="M261" s="7" t="s">
        <v>416</v>
      </c>
    </row>
    <row r="262" spans="8:13" ht="15.6" x14ac:dyDescent="0.3">
      <c r="H262" s="7">
        <v>18</v>
      </c>
      <c r="I262" s="8">
        <v>46006</v>
      </c>
      <c r="J262" s="41"/>
      <c r="K262" s="41">
        <v>64000</v>
      </c>
      <c r="L262" s="7">
        <f t="shared" si="11"/>
        <v>448000</v>
      </c>
      <c r="M262" s="7" t="s">
        <v>416</v>
      </c>
    </row>
    <row r="263" spans="8:13" ht="15.6" x14ac:dyDescent="0.3">
      <c r="H263" s="7">
        <v>19</v>
      </c>
      <c r="I263" s="8">
        <v>46037</v>
      </c>
      <c r="J263" s="41"/>
      <c r="K263" s="41">
        <v>64000</v>
      </c>
      <c r="L263" s="7">
        <f t="shared" si="11"/>
        <v>384000</v>
      </c>
      <c r="M263" s="7" t="s">
        <v>416</v>
      </c>
    </row>
    <row r="264" spans="8:13" ht="15.6" x14ac:dyDescent="0.3">
      <c r="H264" s="7">
        <v>20</v>
      </c>
      <c r="I264" s="8">
        <v>46068</v>
      </c>
      <c r="J264" s="41"/>
      <c r="K264" s="41">
        <v>64000</v>
      </c>
      <c r="L264" s="7">
        <f t="shared" si="11"/>
        <v>320000</v>
      </c>
      <c r="M264" s="7" t="s">
        <v>416</v>
      </c>
    </row>
    <row r="265" spans="8:13" ht="15.6" x14ac:dyDescent="0.3">
      <c r="H265" s="7">
        <v>21</v>
      </c>
      <c r="I265" s="8">
        <v>46096</v>
      </c>
      <c r="J265" s="41"/>
      <c r="K265" s="41"/>
      <c r="L265" s="7">
        <f t="shared" si="11"/>
        <v>320000</v>
      </c>
      <c r="M265" s="7"/>
    </row>
    <row r="266" spans="8:13" ht="15.6" x14ac:dyDescent="0.3">
      <c r="H266" s="7">
        <v>22</v>
      </c>
      <c r="I266" s="8">
        <v>46127</v>
      </c>
      <c r="J266" s="41"/>
      <c r="K266" s="41"/>
      <c r="L266" s="7">
        <f t="shared" si="11"/>
        <v>320000</v>
      </c>
      <c r="M266" s="7"/>
    </row>
    <row r="267" spans="8:13" ht="15.6" x14ac:dyDescent="0.3">
      <c r="H267" s="7">
        <v>23</v>
      </c>
      <c r="I267" s="8">
        <v>46157</v>
      </c>
      <c r="J267" s="41"/>
      <c r="K267" s="41"/>
      <c r="L267" s="7">
        <f t="shared" si="11"/>
        <v>320000</v>
      </c>
      <c r="M267" s="7"/>
    </row>
    <row r="268" spans="8:13" ht="15.6" x14ac:dyDescent="0.3">
      <c r="H268" s="7">
        <v>24</v>
      </c>
      <c r="I268" s="8">
        <v>46188</v>
      </c>
      <c r="J268" s="41"/>
      <c r="K268" s="41"/>
      <c r="L268" s="7">
        <f t="shared" si="11"/>
        <v>320000</v>
      </c>
      <c r="M268" s="7"/>
    </row>
    <row r="269" spans="8:13" ht="15.6" x14ac:dyDescent="0.3">
      <c r="H269" s="7">
        <v>25</v>
      </c>
      <c r="I269" s="8">
        <v>46218</v>
      </c>
      <c r="J269" s="41"/>
      <c r="K269" s="41"/>
      <c r="L269" s="7">
        <f t="shared" si="11"/>
        <v>320000</v>
      </c>
      <c r="M269" s="7"/>
    </row>
    <row r="274" spans="8:14" ht="15.6" x14ac:dyDescent="0.3">
      <c r="H274" s="220" t="s">
        <v>446</v>
      </c>
      <c r="I274" s="221" t="s">
        <v>481</v>
      </c>
      <c r="J274" s="222" t="s">
        <v>447</v>
      </c>
      <c r="K274" s="222" t="s">
        <v>482</v>
      </c>
      <c r="L274" s="221" t="s">
        <v>448</v>
      </c>
      <c r="M274" s="221" t="s">
        <v>449</v>
      </c>
      <c r="N274" s="113" t="s">
        <v>543</v>
      </c>
    </row>
    <row r="275" spans="8:14" ht="15.6" x14ac:dyDescent="0.3">
      <c r="H275" s="251">
        <v>100003198792</v>
      </c>
      <c r="I275" s="70" t="s">
        <v>232</v>
      </c>
      <c r="J275" s="70" t="s">
        <v>73</v>
      </c>
      <c r="K275" s="70" t="s">
        <v>87</v>
      </c>
      <c r="L275" s="7" t="s">
        <v>465</v>
      </c>
      <c r="M275" s="219">
        <v>250000</v>
      </c>
      <c r="N275" s="34" t="s">
        <v>542</v>
      </c>
    </row>
    <row r="276" spans="8:14" ht="15.6" x14ac:dyDescent="0.3">
      <c r="H276" s="251">
        <v>100003198794</v>
      </c>
      <c r="I276" s="70" t="s">
        <v>232</v>
      </c>
      <c r="J276" s="70" t="s">
        <v>74</v>
      </c>
      <c r="K276" s="70" t="s">
        <v>87</v>
      </c>
      <c r="L276" s="7" t="s">
        <v>465</v>
      </c>
      <c r="M276" s="219">
        <v>250000</v>
      </c>
      <c r="N276" s="34" t="s">
        <v>544</v>
      </c>
    </row>
    <row r="277" spans="8:14" ht="15.6" x14ac:dyDescent="0.3">
      <c r="H277" s="251">
        <v>100003198795</v>
      </c>
      <c r="I277" s="70" t="s">
        <v>232</v>
      </c>
      <c r="J277" s="70" t="s">
        <v>75</v>
      </c>
      <c r="K277" s="70" t="s">
        <v>87</v>
      </c>
      <c r="L277" s="7" t="s">
        <v>465</v>
      </c>
      <c r="M277" s="219">
        <v>250000</v>
      </c>
      <c r="N277" s="34" t="s">
        <v>544</v>
      </c>
    </row>
    <row r="278" spans="8:14" ht="15.6" x14ac:dyDescent="0.3">
      <c r="H278" s="251">
        <v>100003198796</v>
      </c>
      <c r="I278" s="70" t="s">
        <v>232</v>
      </c>
      <c r="J278" s="70" t="s">
        <v>76</v>
      </c>
      <c r="K278" s="70" t="s">
        <v>87</v>
      </c>
      <c r="L278" s="7" t="s">
        <v>465</v>
      </c>
      <c r="M278" s="219">
        <v>250000</v>
      </c>
      <c r="N278" s="34" t="s">
        <v>544</v>
      </c>
    </row>
    <row r="279" spans="8:14" ht="15.6" x14ac:dyDescent="0.3">
      <c r="H279" s="251">
        <v>100003198797</v>
      </c>
      <c r="I279" s="70" t="s">
        <v>232</v>
      </c>
      <c r="J279" s="70" t="s">
        <v>77</v>
      </c>
      <c r="K279" s="70" t="s">
        <v>87</v>
      </c>
      <c r="L279" s="7" t="s">
        <v>465</v>
      </c>
      <c r="M279" s="219">
        <v>250000</v>
      </c>
      <c r="N279" s="34" t="s">
        <v>544</v>
      </c>
    </row>
    <row r="280" spans="8:14" ht="15.6" x14ac:dyDescent="0.3">
      <c r="H280" s="251">
        <v>100003198798</v>
      </c>
      <c r="I280" s="70" t="s">
        <v>232</v>
      </c>
      <c r="J280" s="70" t="s">
        <v>78</v>
      </c>
      <c r="K280" s="70" t="s">
        <v>87</v>
      </c>
      <c r="L280" s="7" t="s">
        <v>465</v>
      </c>
      <c r="M280" s="219">
        <v>250000</v>
      </c>
      <c r="N280" s="34" t="s">
        <v>544</v>
      </c>
    </row>
    <row r="281" spans="8:14" ht="15.6" x14ac:dyDescent="0.3">
      <c r="H281" s="251">
        <v>100003198799</v>
      </c>
      <c r="I281" s="70" t="s">
        <v>232</v>
      </c>
      <c r="J281" s="70" t="s">
        <v>79</v>
      </c>
      <c r="K281" s="70" t="s">
        <v>87</v>
      </c>
      <c r="L281" s="7" t="s">
        <v>465</v>
      </c>
      <c r="M281" s="219">
        <v>250000</v>
      </c>
      <c r="N281" s="34"/>
    </row>
    <row r="282" spans="8:14" ht="15.6" x14ac:dyDescent="0.3">
      <c r="H282" s="251">
        <v>100003198800</v>
      </c>
      <c r="I282" s="70" t="s">
        <v>232</v>
      </c>
      <c r="J282" s="70" t="s">
        <v>195</v>
      </c>
      <c r="K282" s="70" t="s">
        <v>87</v>
      </c>
      <c r="L282" s="7" t="s">
        <v>465</v>
      </c>
      <c r="M282" s="219">
        <v>250000</v>
      </c>
      <c r="N282" s="34"/>
    </row>
    <row r="283" spans="8:14" ht="15.6" x14ac:dyDescent="0.3">
      <c r="H283" s="251">
        <v>100003198801</v>
      </c>
      <c r="I283" s="70" t="s">
        <v>232</v>
      </c>
      <c r="J283" s="70" t="s">
        <v>196</v>
      </c>
      <c r="K283" s="70" t="s">
        <v>87</v>
      </c>
      <c r="L283" s="7" t="s">
        <v>465</v>
      </c>
      <c r="M283" s="219">
        <v>250000</v>
      </c>
      <c r="N283" s="34"/>
    </row>
    <row r="284" spans="8:14" ht="15.6" x14ac:dyDescent="0.3">
      <c r="H284" s="251">
        <v>100003198802</v>
      </c>
      <c r="I284" s="70" t="s">
        <v>232</v>
      </c>
      <c r="J284" s="70" t="s">
        <v>197</v>
      </c>
      <c r="K284" s="70" t="s">
        <v>87</v>
      </c>
      <c r="L284" s="7" t="s">
        <v>465</v>
      </c>
      <c r="M284" s="219">
        <v>250000</v>
      </c>
      <c r="N284" s="34"/>
    </row>
    <row r="285" spans="8:14" ht="15.6" x14ac:dyDescent="0.3">
      <c r="H285" s="251">
        <v>100003198803</v>
      </c>
      <c r="I285" s="70" t="s">
        <v>232</v>
      </c>
      <c r="J285" s="70" t="s">
        <v>282</v>
      </c>
      <c r="K285" s="70" t="s">
        <v>87</v>
      </c>
      <c r="L285" s="7" t="s">
        <v>465</v>
      </c>
      <c r="M285" s="219">
        <v>250000</v>
      </c>
      <c r="N285" s="34"/>
    </row>
    <row r="286" spans="8:14" ht="15.6" x14ac:dyDescent="0.3">
      <c r="H286" s="251">
        <v>100003198804</v>
      </c>
      <c r="I286" s="70" t="s">
        <v>232</v>
      </c>
      <c r="J286" s="70" t="s">
        <v>283</v>
      </c>
      <c r="K286" s="70" t="s">
        <v>87</v>
      </c>
      <c r="L286" s="7" t="s">
        <v>465</v>
      </c>
      <c r="M286" s="219">
        <v>250000</v>
      </c>
      <c r="N286" s="34"/>
    </row>
    <row r="287" spans="8:14" ht="15.6" x14ac:dyDescent="0.3">
      <c r="H287" s="251">
        <v>100003198805</v>
      </c>
      <c r="I287" s="70" t="s">
        <v>466</v>
      </c>
      <c r="J287" s="70" t="s">
        <v>284</v>
      </c>
      <c r="K287" s="70" t="s">
        <v>87</v>
      </c>
      <c r="L287" s="7" t="s">
        <v>465</v>
      </c>
      <c r="M287" s="219">
        <v>250000</v>
      </c>
      <c r="N287" s="34"/>
    </row>
    <row r="288" spans="8:14" ht="15.6" x14ac:dyDescent="0.3">
      <c r="H288" s="251">
        <v>100003198806</v>
      </c>
      <c r="I288" s="70" t="s">
        <v>467</v>
      </c>
      <c r="J288" s="70" t="s">
        <v>285</v>
      </c>
      <c r="K288" s="70" t="s">
        <v>87</v>
      </c>
      <c r="L288" s="7" t="s">
        <v>465</v>
      </c>
      <c r="M288" s="219">
        <v>250000</v>
      </c>
      <c r="N288" s="34"/>
    </row>
    <row r="289" spans="8:14" ht="15.6" x14ac:dyDescent="0.3">
      <c r="H289" s="251">
        <v>100003198807</v>
      </c>
      <c r="I289" s="70" t="s">
        <v>468</v>
      </c>
      <c r="J289" s="70" t="s">
        <v>430</v>
      </c>
      <c r="K289" s="70" t="s">
        <v>87</v>
      </c>
      <c r="L289" s="7" t="s">
        <v>465</v>
      </c>
      <c r="M289" s="219">
        <v>250000</v>
      </c>
      <c r="N289" s="34"/>
    </row>
    <row r="290" spans="8:14" ht="15.6" x14ac:dyDescent="0.3">
      <c r="H290" s="251">
        <v>100003198808</v>
      </c>
      <c r="I290" s="70" t="s">
        <v>469</v>
      </c>
      <c r="J290" s="70" t="s">
        <v>291</v>
      </c>
      <c r="K290" s="70" t="s">
        <v>87</v>
      </c>
      <c r="L290" s="7" t="s">
        <v>465</v>
      </c>
      <c r="M290" s="219">
        <v>250000</v>
      </c>
      <c r="N290" s="34"/>
    </row>
    <row r="291" spans="8:14" ht="15.6" x14ac:dyDescent="0.3">
      <c r="H291" s="251">
        <v>100003198809</v>
      </c>
      <c r="I291" s="70" t="s">
        <v>470</v>
      </c>
      <c r="J291" s="70" t="s">
        <v>292</v>
      </c>
      <c r="K291" s="70" t="s">
        <v>87</v>
      </c>
      <c r="L291" s="7" t="s">
        <v>465</v>
      </c>
      <c r="M291" s="219">
        <v>250000</v>
      </c>
      <c r="N291" s="34"/>
    </row>
    <row r="292" spans="8:14" ht="15.6" x14ac:dyDescent="0.3">
      <c r="H292" s="251">
        <v>100003198810</v>
      </c>
      <c r="I292" s="70" t="s">
        <v>471</v>
      </c>
      <c r="J292" s="70" t="s">
        <v>293</v>
      </c>
      <c r="K292" s="70" t="s">
        <v>87</v>
      </c>
      <c r="L292" s="7" t="s">
        <v>465</v>
      </c>
      <c r="M292" s="219">
        <v>250000</v>
      </c>
      <c r="N292" s="34"/>
    </row>
    <row r="293" spans="8:14" ht="15.6" x14ac:dyDescent="0.3">
      <c r="H293" s="251">
        <v>100003198811</v>
      </c>
      <c r="I293" s="70" t="s">
        <v>472</v>
      </c>
      <c r="J293" s="70" t="s">
        <v>288</v>
      </c>
      <c r="K293" s="70" t="s">
        <v>87</v>
      </c>
      <c r="L293" s="7" t="s">
        <v>465</v>
      </c>
      <c r="M293" s="219">
        <v>250000</v>
      </c>
      <c r="N293" s="34"/>
    </row>
    <row r="294" spans="8:14" ht="15.6" x14ac:dyDescent="0.3">
      <c r="H294" s="251">
        <v>100003198812</v>
      </c>
      <c r="I294" s="70" t="s">
        <v>473</v>
      </c>
      <c r="J294" s="70" t="s">
        <v>289</v>
      </c>
      <c r="K294" s="70" t="s">
        <v>87</v>
      </c>
      <c r="L294" s="7" t="s">
        <v>465</v>
      </c>
      <c r="M294" s="219">
        <v>250000</v>
      </c>
      <c r="N294" s="34"/>
    </row>
    <row r="295" spans="8:14" ht="15.6" x14ac:dyDescent="0.3">
      <c r="H295" s="251">
        <v>100003198813</v>
      </c>
      <c r="I295" s="70" t="s">
        <v>474</v>
      </c>
      <c r="J295" s="70" t="s">
        <v>290</v>
      </c>
      <c r="K295" s="70" t="s">
        <v>87</v>
      </c>
      <c r="L295" s="7" t="s">
        <v>465</v>
      </c>
      <c r="M295" s="219">
        <v>250000</v>
      </c>
      <c r="N295" s="34"/>
    </row>
    <row r="296" spans="8:14" ht="15.6" x14ac:dyDescent="0.3">
      <c r="H296" s="251">
        <v>100003198814</v>
      </c>
      <c r="I296" s="70" t="s">
        <v>475</v>
      </c>
      <c r="J296" s="70" t="s">
        <v>476</v>
      </c>
      <c r="K296" s="70" t="s">
        <v>87</v>
      </c>
      <c r="L296" s="7" t="s">
        <v>465</v>
      </c>
      <c r="M296" s="219">
        <v>250000</v>
      </c>
      <c r="N296" s="34"/>
    </row>
    <row r="297" spans="8:14" ht="15.6" x14ac:dyDescent="0.3">
      <c r="H297" s="251">
        <v>100003198815</v>
      </c>
      <c r="I297" s="70" t="s">
        <v>477</v>
      </c>
      <c r="J297" s="70" t="s">
        <v>478</v>
      </c>
      <c r="K297" s="70" t="s">
        <v>87</v>
      </c>
      <c r="L297" s="7" t="s">
        <v>465</v>
      </c>
      <c r="M297" s="219">
        <v>250000</v>
      </c>
      <c r="N297" s="34"/>
    </row>
    <row r="298" spans="8:14" ht="15.6" x14ac:dyDescent="0.3">
      <c r="H298" s="251">
        <v>100003198816</v>
      </c>
      <c r="I298" s="70" t="s">
        <v>479</v>
      </c>
      <c r="J298" s="70" t="s">
        <v>480</v>
      </c>
      <c r="K298" s="70" t="s">
        <v>87</v>
      </c>
      <c r="L298" s="7" t="s">
        <v>465</v>
      </c>
      <c r="M298" s="219">
        <v>250000</v>
      </c>
      <c r="N298" s="34"/>
    </row>
    <row r="299" spans="8:14" ht="15.6" x14ac:dyDescent="0.3">
      <c r="H299" s="251"/>
      <c r="I299" s="70"/>
      <c r="J299" s="70"/>
      <c r="K299" s="70"/>
      <c r="L299" s="7"/>
      <c r="M299" s="219"/>
      <c r="N299" s="208"/>
    </row>
  </sheetData>
  <mergeCells count="9">
    <mergeCell ref="M185:M187"/>
    <mergeCell ref="K208:L208"/>
    <mergeCell ref="K241:L241"/>
    <mergeCell ref="K6:L6"/>
    <mergeCell ref="J39:L39"/>
    <mergeCell ref="J71:L71"/>
    <mergeCell ref="J106:L106"/>
    <mergeCell ref="J139:L139"/>
    <mergeCell ref="J177:K177"/>
  </mergeCells>
  <pageMargins left="0.7" right="0.7" top="0.75" bottom="0.75" header="0.3" footer="0.3"/>
  <pageSetup scale="83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3"/>
  <sheetViews>
    <sheetView rightToLeft="1" workbookViewId="0">
      <pane ySplit="5" topLeftCell="A6" activePane="bottomLeft" state="frozen"/>
      <selection pane="bottomLeft" activeCell="A14" sqref="A14"/>
    </sheetView>
  </sheetViews>
  <sheetFormatPr defaultColWidth="9" defaultRowHeight="14.4" x14ac:dyDescent="0.3"/>
  <cols>
    <col min="1" max="1" width="11.33203125" customWidth="1"/>
    <col min="2" max="2" width="11.88671875" customWidth="1"/>
    <col min="3" max="3" width="13.5546875" customWidth="1"/>
    <col min="4" max="4" width="35.33203125" customWidth="1"/>
    <col min="5" max="5" width="16.88671875" customWidth="1"/>
    <col min="8" max="8" width="8.44140625" customWidth="1"/>
    <col min="9" max="9" width="12.5546875" customWidth="1"/>
    <col min="10" max="10" width="17.44140625" bestFit="1" customWidth="1"/>
    <col min="11" max="11" width="15.5546875" bestFit="1" customWidth="1"/>
    <col min="12" max="12" width="9.109375" bestFit="1" customWidth="1"/>
    <col min="13" max="13" width="21.6640625" bestFit="1" customWidth="1"/>
    <col min="14" max="14" width="11.33203125" bestFit="1" customWidth="1"/>
  </cols>
  <sheetData>
    <row r="1" spans="1:14" ht="15.6" x14ac:dyDescent="0.3">
      <c r="A1" s="1"/>
      <c r="B1" s="1"/>
      <c r="C1" s="1"/>
      <c r="D1" s="1"/>
      <c r="E1" s="2"/>
      <c r="F1" s="1"/>
    </row>
    <row r="2" spans="1:14" ht="15.6" x14ac:dyDescent="0.3">
      <c r="A2" s="3">
        <f>SUBTOTAL(9,A5:A153)</f>
        <v>1800000</v>
      </c>
      <c r="B2" s="3">
        <f>SUBTOTAL(9,B5:B153)</f>
        <v>3500000</v>
      </c>
      <c r="C2" s="3">
        <f>A2-B2</f>
        <v>-1700000</v>
      </c>
      <c r="D2" s="1"/>
      <c r="E2" s="2"/>
      <c r="F2" s="1"/>
    </row>
    <row r="3" spans="1:14" ht="29.25" customHeight="1" x14ac:dyDescent="0.3">
      <c r="A3" s="273" t="s">
        <v>277</v>
      </c>
      <c r="B3" s="274"/>
      <c r="C3" s="275"/>
      <c r="D3" s="5"/>
      <c r="E3" s="6"/>
      <c r="F3" s="6"/>
    </row>
    <row r="4" spans="1:14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4" ht="0.75" customHeight="1" x14ac:dyDescent="0.3">
      <c r="A5" s="7"/>
      <c r="B5" s="7"/>
      <c r="C5" s="7">
        <v>0</v>
      </c>
      <c r="D5" s="7"/>
      <c r="E5" s="8"/>
      <c r="F5" s="7"/>
    </row>
    <row r="6" spans="1:14" ht="15.6" x14ac:dyDescent="0.3">
      <c r="A6" s="80"/>
      <c r="B6" s="80">
        <f>3500000-1520000</f>
        <v>1980000</v>
      </c>
      <c r="C6" s="4">
        <f>IF(A6&gt;0,C5+A6-B6,C5-B6)</f>
        <v>-1980000</v>
      </c>
      <c r="D6" s="81" t="s">
        <v>298</v>
      </c>
      <c r="E6" s="82" t="s">
        <v>297</v>
      </c>
      <c r="F6" s="58"/>
    </row>
    <row r="7" spans="1:14" ht="15.6" x14ac:dyDescent="0.3">
      <c r="A7" s="80"/>
      <c r="B7" s="80">
        <v>1520000</v>
      </c>
      <c r="C7" s="4">
        <f t="shared" ref="C7:C15" si="0">IF(A7&gt;0,C6+A7-B7,C6-B7)</f>
        <v>-3500000</v>
      </c>
      <c r="D7" s="81" t="s">
        <v>296</v>
      </c>
      <c r="E7" s="82" t="s">
        <v>297</v>
      </c>
      <c r="F7" s="58"/>
    </row>
    <row r="8" spans="1:14" ht="15.6" x14ac:dyDescent="0.3">
      <c r="A8" s="36">
        <v>150000</v>
      </c>
      <c r="B8" s="83"/>
      <c r="C8" s="3">
        <f t="shared" si="0"/>
        <v>-3350000</v>
      </c>
      <c r="D8" s="75" t="s">
        <v>28</v>
      </c>
      <c r="E8" s="8">
        <v>45788</v>
      </c>
      <c r="F8" s="58"/>
      <c r="H8" s="6"/>
      <c r="I8" s="5" t="s">
        <v>37</v>
      </c>
      <c r="J8" s="6" t="s">
        <v>278</v>
      </c>
      <c r="K8" s="272"/>
      <c r="L8" s="272"/>
      <c r="M8" s="6" t="s">
        <v>279</v>
      </c>
      <c r="N8" s="6" t="s">
        <v>7</v>
      </c>
    </row>
    <row r="9" spans="1:14" ht="15.6" x14ac:dyDescent="0.3">
      <c r="A9" s="36">
        <v>150000</v>
      </c>
      <c r="B9" s="83"/>
      <c r="C9" s="3">
        <f t="shared" si="0"/>
        <v>-3200000</v>
      </c>
      <c r="D9" s="75" t="s">
        <v>28</v>
      </c>
      <c r="E9" s="8" t="s">
        <v>295</v>
      </c>
      <c r="F9" s="58"/>
      <c r="H9" s="92" t="s">
        <v>40</v>
      </c>
      <c r="I9" s="7" t="s">
        <v>6</v>
      </c>
      <c r="J9" s="41" t="s">
        <v>41</v>
      </c>
      <c r="K9" s="41" t="s">
        <v>42</v>
      </c>
      <c r="L9" s="7" t="s">
        <v>43</v>
      </c>
      <c r="M9" s="7" t="s">
        <v>7</v>
      </c>
      <c r="N9" s="208" t="s">
        <v>516</v>
      </c>
    </row>
    <row r="10" spans="1:14" ht="15.6" x14ac:dyDescent="0.3">
      <c r="A10" s="36">
        <v>300000</v>
      </c>
      <c r="B10" s="83"/>
      <c r="C10" s="3">
        <f t="shared" si="0"/>
        <v>-2900000</v>
      </c>
      <c r="D10" s="75" t="s">
        <v>28</v>
      </c>
      <c r="E10" s="8" t="s">
        <v>299</v>
      </c>
      <c r="F10" s="58"/>
      <c r="H10" s="92"/>
      <c r="I10" s="7"/>
      <c r="J10" s="41">
        <v>3500000</v>
      </c>
      <c r="K10" s="41"/>
      <c r="L10" s="7">
        <f>J10-K10</f>
        <v>3500000</v>
      </c>
      <c r="M10" s="7" t="s">
        <v>280</v>
      </c>
      <c r="N10" s="208"/>
    </row>
    <row r="11" spans="1:14" ht="15.6" x14ac:dyDescent="0.3">
      <c r="A11" s="36">
        <v>450000</v>
      </c>
      <c r="B11" s="84"/>
      <c r="C11" s="3">
        <f t="shared" si="0"/>
        <v>-2450000</v>
      </c>
      <c r="D11" s="75" t="s">
        <v>28</v>
      </c>
      <c r="E11" s="8" t="s">
        <v>489</v>
      </c>
      <c r="F11" s="58"/>
      <c r="H11" s="92"/>
      <c r="I11" s="8"/>
      <c r="J11" s="41"/>
      <c r="K11" s="41"/>
      <c r="L11" s="7">
        <f>L10-K11</f>
        <v>3500000</v>
      </c>
      <c r="M11" s="7"/>
      <c r="N11" s="208"/>
    </row>
    <row r="12" spans="1:14" ht="15.6" x14ac:dyDescent="0.3">
      <c r="A12" s="36">
        <v>450000</v>
      </c>
      <c r="B12" s="83"/>
      <c r="C12" s="3">
        <f t="shared" si="0"/>
        <v>-2000000</v>
      </c>
      <c r="D12" s="75"/>
      <c r="E12" s="8">
        <v>46250</v>
      </c>
      <c r="F12" s="58"/>
      <c r="H12" s="92">
        <v>1</v>
      </c>
      <c r="I12" s="46" t="s">
        <v>68</v>
      </c>
      <c r="J12" s="47"/>
      <c r="K12" s="47">
        <v>150000</v>
      </c>
      <c r="L12" s="48">
        <f>L11-K12</f>
        <v>3350000</v>
      </c>
      <c r="M12" s="48" t="s">
        <v>136</v>
      </c>
      <c r="N12" s="286" t="s">
        <v>537</v>
      </c>
    </row>
    <row r="13" spans="1:14" ht="15.6" x14ac:dyDescent="0.3">
      <c r="A13" s="83">
        <v>300000</v>
      </c>
      <c r="B13" s="83"/>
      <c r="C13" s="3">
        <f t="shared" si="0"/>
        <v>-1700000</v>
      </c>
      <c r="D13" s="57" t="s">
        <v>577</v>
      </c>
      <c r="E13" s="8">
        <v>46308</v>
      </c>
      <c r="F13" s="58"/>
      <c r="H13" s="92">
        <v>2</v>
      </c>
      <c r="I13" s="46" t="s">
        <v>69</v>
      </c>
      <c r="J13" s="47"/>
      <c r="K13" s="47">
        <v>150000</v>
      </c>
      <c r="L13" s="48">
        <f>L12-K13</f>
        <v>3200000</v>
      </c>
      <c r="M13" s="48" t="s">
        <v>136</v>
      </c>
      <c r="N13" s="287"/>
    </row>
    <row r="14" spans="1:14" ht="15.6" x14ac:dyDescent="0.3">
      <c r="A14" s="83"/>
      <c r="B14" s="83"/>
      <c r="C14" s="3">
        <f t="shared" si="0"/>
        <v>-1700000</v>
      </c>
      <c r="D14" s="57"/>
      <c r="E14" s="35"/>
      <c r="F14" s="58"/>
      <c r="H14" s="92">
        <v>3</v>
      </c>
      <c r="I14" s="46" t="s">
        <v>73</v>
      </c>
      <c r="J14" s="47"/>
      <c r="K14" s="47">
        <v>150000</v>
      </c>
      <c r="L14" s="48">
        <f t="shared" ref="L14:L36" si="1">L13-K14</f>
        <v>3050000</v>
      </c>
      <c r="M14" s="48" t="s">
        <v>136</v>
      </c>
      <c r="N14" s="287"/>
    </row>
    <row r="15" spans="1:14" ht="15.6" x14ac:dyDescent="0.3">
      <c r="A15" s="83"/>
      <c r="B15" s="83"/>
      <c r="C15" s="3">
        <f t="shared" si="0"/>
        <v>-1700000</v>
      </c>
      <c r="D15" s="57"/>
      <c r="E15" s="35"/>
      <c r="F15" s="58"/>
      <c r="H15" s="92">
        <v>4</v>
      </c>
      <c r="I15" s="46" t="s">
        <v>74</v>
      </c>
      <c r="J15" s="47"/>
      <c r="K15" s="47">
        <v>150000</v>
      </c>
      <c r="L15" s="48">
        <f t="shared" si="1"/>
        <v>2900000</v>
      </c>
      <c r="M15" s="48" t="s">
        <v>136</v>
      </c>
      <c r="N15" s="287"/>
    </row>
    <row r="16" spans="1:14" ht="15.6" x14ac:dyDescent="0.3">
      <c r="A16" s="83"/>
      <c r="B16" s="83"/>
      <c r="C16" s="3">
        <f t="shared" ref="C16:C71" si="2">IF(A16&gt;0,C15+A16-B16,C15-B16)</f>
        <v>-1700000</v>
      </c>
      <c r="D16" s="7"/>
      <c r="E16" s="94"/>
      <c r="F16" s="58"/>
      <c r="H16" s="92">
        <v>5</v>
      </c>
      <c r="I16" s="46" t="s">
        <v>281</v>
      </c>
      <c r="J16" s="47"/>
      <c r="K16" s="47">
        <v>150000</v>
      </c>
      <c r="L16" s="48">
        <f t="shared" si="1"/>
        <v>2750000</v>
      </c>
      <c r="M16" s="48" t="s">
        <v>136</v>
      </c>
      <c r="N16" s="287"/>
    </row>
    <row r="17" spans="1:14" ht="15.6" x14ac:dyDescent="0.3">
      <c r="A17" s="119"/>
      <c r="B17" s="119"/>
      <c r="C17" s="3">
        <f t="shared" si="2"/>
        <v>-1700000</v>
      </c>
      <c r="D17" s="120"/>
      <c r="E17" s="121"/>
      <c r="F17" s="58"/>
      <c r="H17" s="92">
        <v>6</v>
      </c>
      <c r="I17" s="46" t="s">
        <v>76</v>
      </c>
      <c r="J17" s="47"/>
      <c r="K17" s="47">
        <v>150000</v>
      </c>
      <c r="L17" s="48">
        <f t="shared" si="1"/>
        <v>2600000</v>
      </c>
      <c r="M17" s="48" t="s">
        <v>136</v>
      </c>
      <c r="N17" s="287"/>
    </row>
    <row r="18" spans="1:14" ht="15.6" x14ac:dyDescent="0.3">
      <c r="A18" s="88"/>
      <c r="B18" s="88"/>
      <c r="C18" s="3">
        <f t="shared" si="2"/>
        <v>-1700000</v>
      </c>
      <c r="D18" s="120"/>
      <c r="E18" s="121"/>
      <c r="F18" s="58"/>
      <c r="H18" s="92">
        <v>7</v>
      </c>
      <c r="I18" s="46" t="s">
        <v>77</v>
      </c>
      <c r="J18" s="47"/>
      <c r="K18" s="47">
        <v>150000</v>
      </c>
      <c r="L18" s="48">
        <f t="shared" si="1"/>
        <v>2450000</v>
      </c>
      <c r="M18" s="48" t="s">
        <v>136</v>
      </c>
      <c r="N18" s="288"/>
    </row>
    <row r="19" spans="1:14" ht="15.6" x14ac:dyDescent="0.3">
      <c r="A19" s="88"/>
      <c r="B19" s="88"/>
      <c r="C19" s="3">
        <f t="shared" si="2"/>
        <v>-1700000</v>
      </c>
      <c r="D19" s="89"/>
      <c r="E19" s="73"/>
      <c r="F19" s="58"/>
      <c r="H19" s="92">
        <v>8</v>
      </c>
      <c r="I19" s="8" t="s">
        <v>78</v>
      </c>
      <c r="J19" s="41"/>
      <c r="K19" s="41">
        <v>150000</v>
      </c>
      <c r="L19" s="7">
        <f t="shared" si="1"/>
        <v>2300000</v>
      </c>
      <c r="M19" s="7"/>
      <c r="N19" s="208"/>
    </row>
    <row r="20" spans="1:14" ht="15.6" x14ac:dyDescent="0.3">
      <c r="A20" s="3"/>
      <c r="B20" s="3"/>
      <c r="C20" s="3">
        <f t="shared" si="2"/>
        <v>-1700000</v>
      </c>
      <c r="D20" s="7"/>
      <c r="E20" s="90"/>
      <c r="F20" s="58"/>
      <c r="H20" s="92">
        <v>9</v>
      </c>
      <c r="I20" s="8" t="s">
        <v>79</v>
      </c>
      <c r="J20" s="41"/>
      <c r="K20" s="41">
        <v>150000</v>
      </c>
      <c r="L20" s="7">
        <f t="shared" si="1"/>
        <v>2150000</v>
      </c>
      <c r="M20" s="7"/>
      <c r="N20" s="208"/>
    </row>
    <row r="21" spans="1:14" ht="15.6" x14ac:dyDescent="0.3">
      <c r="A21" s="3"/>
      <c r="B21" s="3"/>
      <c r="C21" s="3">
        <f t="shared" si="2"/>
        <v>-1700000</v>
      </c>
      <c r="D21" s="91"/>
      <c r="E21" s="8"/>
      <c r="F21" s="58"/>
      <c r="H21" s="92">
        <v>10</v>
      </c>
      <c r="I21" s="8" t="s">
        <v>195</v>
      </c>
      <c r="J21" s="41"/>
      <c r="K21" s="41">
        <v>150000</v>
      </c>
      <c r="L21" s="7">
        <f t="shared" si="1"/>
        <v>2000000</v>
      </c>
      <c r="M21" s="7"/>
      <c r="N21" s="208"/>
    </row>
    <row r="22" spans="1:14" ht="15.6" x14ac:dyDescent="0.3">
      <c r="A22" s="3"/>
      <c r="B22" s="3"/>
      <c r="C22" s="3">
        <f t="shared" si="2"/>
        <v>-1700000</v>
      </c>
      <c r="D22" s="8"/>
      <c r="E22" s="8"/>
      <c r="F22" s="58"/>
      <c r="H22" s="92">
        <v>11</v>
      </c>
      <c r="I22" s="8" t="s">
        <v>196</v>
      </c>
      <c r="J22" s="41"/>
      <c r="K22" s="41">
        <v>150000</v>
      </c>
      <c r="L22" s="7">
        <f t="shared" si="1"/>
        <v>1850000</v>
      </c>
      <c r="M22" s="7"/>
      <c r="N22" s="208"/>
    </row>
    <row r="23" spans="1:14" ht="15.6" x14ac:dyDescent="0.3">
      <c r="A23" s="3"/>
      <c r="B23" s="3"/>
      <c r="C23" s="3">
        <f t="shared" si="2"/>
        <v>-1700000</v>
      </c>
      <c r="D23" s="8"/>
      <c r="E23" s="8"/>
      <c r="F23" s="58"/>
      <c r="H23" s="92">
        <v>12</v>
      </c>
      <c r="I23" s="8" t="s">
        <v>197</v>
      </c>
      <c r="J23" s="41"/>
      <c r="K23" s="41">
        <v>150000</v>
      </c>
      <c r="L23" s="7">
        <f t="shared" si="1"/>
        <v>1700000</v>
      </c>
      <c r="M23" s="7"/>
      <c r="N23" s="208"/>
    </row>
    <row r="24" spans="1:14" ht="15.6" x14ac:dyDescent="0.3">
      <c r="A24" s="3"/>
      <c r="B24" s="3"/>
      <c r="C24" s="3">
        <f t="shared" si="2"/>
        <v>-1700000</v>
      </c>
      <c r="D24" s="8"/>
      <c r="E24" s="8"/>
      <c r="F24" s="58"/>
      <c r="H24" s="92">
        <v>13</v>
      </c>
      <c r="I24" s="8" t="s">
        <v>282</v>
      </c>
      <c r="J24" s="41"/>
      <c r="K24" s="41">
        <v>150000</v>
      </c>
      <c r="L24" s="7">
        <f t="shared" si="1"/>
        <v>1550000</v>
      </c>
      <c r="M24" s="7"/>
      <c r="N24" s="208"/>
    </row>
    <row r="25" spans="1:14" ht="15.6" x14ac:dyDescent="0.3">
      <c r="A25" s="3"/>
      <c r="B25" s="3"/>
      <c r="C25" s="3">
        <f t="shared" si="2"/>
        <v>-1700000</v>
      </c>
      <c r="D25" s="8"/>
      <c r="E25" s="8"/>
      <c r="F25" s="58"/>
      <c r="H25" s="92">
        <v>14</v>
      </c>
      <c r="I25" s="8" t="s">
        <v>283</v>
      </c>
      <c r="J25" s="41"/>
      <c r="K25" s="41">
        <v>150000</v>
      </c>
      <c r="L25" s="7">
        <f t="shared" si="1"/>
        <v>1400000</v>
      </c>
      <c r="M25" s="7"/>
      <c r="N25" s="208"/>
    </row>
    <row r="26" spans="1:14" ht="15.6" x14ac:dyDescent="0.3">
      <c r="A26" s="3"/>
      <c r="B26" s="3"/>
      <c r="C26" s="3">
        <f t="shared" si="2"/>
        <v>-1700000</v>
      </c>
      <c r="D26" s="8"/>
      <c r="E26" s="8"/>
      <c r="F26" s="58"/>
      <c r="H26" s="92">
        <v>15</v>
      </c>
      <c r="I26" s="8" t="s">
        <v>284</v>
      </c>
      <c r="J26" s="41"/>
      <c r="K26" s="41">
        <v>150000</v>
      </c>
      <c r="L26" s="7">
        <f t="shared" si="1"/>
        <v>1250000</v>
      </c>
      <c r="M26" s="7"/>
      <c r="N26" s="208"/>
    </row>
    <row r="27" spans="1:14" ht="15.6" x14ac:dyDescent="0.3">
      <c r="A27" s="3"/>
      <c r="B27" s="3"/>
      <c r="C27" s="3">
        <f t="shared" si="2"/>
        <v>-1700000</v>
      </c>
      <c r="D27" s="8"/>
      <c r="E27" s="8"/>
      <c r="F27" s="58"/>
      <c r="H27" s="92">
        <v>16</v>
      </c>
      <c r="I27" s="8" t="s">
        <v>285</v>
      </c>
      <c r="J27" s="41"/>
      <c r="K27" s="41">
        <v>150000</v>
      </c>
      <c r="L27" s="7">
        <f t="shared" si="1"/>
        <v>1100000</v>
      </c>
      <c r="M27" s="7"/>
      <c r="N27" s="208"/>
    </row>
    <row r="28" spans="1:14" ht="15.6" x14ac:dyDescent="0.3">
      <c r="A28" s="3"/>
      <c r="B28" s="3"/>
      <c r="C28" s="3">
        <f t="shared" si="2"/>
        <v>-1700000</v>
      </c>
      <c r="D28" s="8"/>
      <c r="E28" s="8"/>
      <c r="F28" s="58"/>
      <c r="H28" s="92">
        <v>17</v>
      </c>
      <c r="I28" s="8" t="s">
        <v>286</v>
      </c>
      <c r="J28" s="41"/>
      <c r="K28" s="41">
        <v>150000</v>
      </c>
      <c r="L28" s="7">
        <f t="shared" si="1"/>
        <v>950000</v>
      </c>
      <c r="M28" s="7"/>
      <c r="N28" s="208"/>
    </row>
    <row r="29" spans="1:14" ht="15.6" x14ac:dyDescent="0.3">
      <c r="A29" s="3"/>
      <c r="B29" s="3"/>
      <c r="C29" s="3">
        <f t="shared" si="2"/>
        <v>-1700000</v>
      </c>
      <c r="D29" s="8"/>
      <c r="E29" s="8"/>
      <c r="F29" s="58"/>
      <c r="H29" s="92">
        <v>18</v>
      </c>
      <c r="I29" s="8" t="s">
        <v>291</v>
      </c>
      <c r="J29" s="41"/>
      <c r="K29" s="41">
        <v>150000</v>
      </c>
      <c r="L29" s="7">
        <f t="shared" si="1"/>
        <v>800000</v>
      </c>
      <c r="M29" s="7"/>
      <c r="N29" s="208"/>
    </row>
    <row r="30" spans="1:14" ht="15.6" x14ac:dyDescent="0.3">
      <c r="A30" s="3"/>
      <c r="B30" s="3"/>
      <c r="C30" s="3">
        <f t="shared" si="2"/>
        <v>-1700000</v>
      </c>
      <c r="D30" s="7"/>
      <c r="E30" s="8"/>
      <c r="F30" s="58"/>
      <c r="H30" s="92">
        <v>19</v>
      </c>
      <c r="I30" s="8" t="s">
        <v>292</v>
      </c>
      <c r="J30" s="41"/>
      <c r="K30" s="41">
        <v>150000</v>
      </c>
      <c r="L30" s="7">
        <f t="shared" si="1"/>
        <v>650000</v>
      </c>
      <c r="M30" s="7"/>
      <c r="N30" s="208"/>
    </row>
    <row r="31" spans="1:14" ht="15.6" x14ac:dyDescent="0.3">
      <c r="A31" s="3"/>
      <c r="B31" s="3"/>
      <c r="C31" s="3">
        <f t="shared" si="2"/>
        <v>-1700000</v>
      </c>
      <c r="D31" s="7"/>
      <c r="E31" s="8"/>
      <c r="F31" s="58"/>
      <c r="H31" s="92">
        <v>20</v>
      </c>
      <c r="I31" s="8" t="s">
        <v>293</v>
      </c>
      <c r="J31" s="41"/>
      <c r="K31" s="41">
        <v>150000</v>
      </c>
      <c r="L31" s="7">
        <f t="shared" si="1"/>
        <v>500000</v>
      </c>
      <c r="M31" s="7"/>
      <c r="N31" s="208"/>
    </row>
    <row r="32" spans="1:14" ht="15.6" x14ac:dyDescent="0.3">
      <c r="A32" s="3"/>
      <c r="B32" s="3"/>
      <c r="C32" s="3">
        <f>IF(A32&gt;0,C31+A32-B32,C31-B32)</f>
        <v>-1700000</v>
      </c>
      <c r="D32" s="7"/>
      <c r="E32" s="8"/>
      <c r="F32" s="58"/>
      <c r="H32" s="92">
        <v>21</v>
      </c>
      <c r="I32" s="8" t="s">
        <v>288</v>
      </c>
      <c r="J32" s="41"/>
      <c r="K32" s="41">
        <v>150000</v>
      </c>
      <c r="L32" s="7">
        <f t="shared" si="1"/>
        <v>350000</v>
      </c>
      <c r="M32" s="7"/>
      <c r="N32" s="208"/>
    </row>
    <row r="33" spans="1:14" ht="15.6" x14ac:dyDescent="0.3">
      <c r="A33" s="3"/>
      <c r="B33" s="3"/>
      <c r="C33" s="3">
        <f t="shared" si="2"/>
        <v>-1700000</v>
      </c>
      <c r="D33" s="7"/>
      <c r="E33" s="8"/>
      <c r="F33" s="58"/>
      <c r="H33" s="92">
        <v>22</v>
      </c>
      <c r="I33" s="8" t="s">
        <v>289</v>
      </c>
      <c r="J33" s="41"/>
      <c r="K33" s="41">
        <v>150000</v>
      </c>
      <c r="L33" s="7">
        <f t="shared" si="1"/>
        <v>200000</v>
      </c>
      <c r="M33" s="7"/>
      <c r="N33" s="208"/>
    </row>
    <row r="34" spans="1:14" ht="15.6" x14ac:dyDescent="0.3">
      <c r="A34" s="3"/>
      <c r="B34" s="3"/>
      <c r="C34" s="3">
        <f t="shared" si="2"/>
        <v>-1700000</v>
      </c>
      <c r="D34" s="7"/>
      <c r="E34" s="8"/>
      <c r="F34" s="58"/>
      <c r="H34" s="92">
        <v>23</v>
      </c>
      <c r="I34" s="8" t="s">
        <v>290</v>
      </c>
      <c r="J34" s="41"/>
      <c r="K34" s="41">
        <v>200000</v>
      </c>
      <c r="L34" s="7">
        <f t="shared" si="1"/>
        <v>0</v>
      </c>
      <c r="M34" s="7"/>
      <c r="N34" s="208"/>
    </row>
    <row r="35" spans="1:14" ht="15.6" x14ac:dyDescent="0.3">
      <c r="A35" s="3"/>
      <c r="B35" s="3"/>
      <c r="C35" s="3">
        <f t="shared" si="2"/>
        <v>-1700000</v>
      </c>
      <c r="D35" s="7"/>
      <c r="E35" s="8"/>
      <c r="F35" s="58"/>
      <c r="H35" s="92"/>
      <c r="I35" s="8"/>
      <c r="J35" s="41"/>
      <c r="K35" s="41"/>
      <c r="L35" s="7">
        <f t="shared" si="1"/>
        <v>0</v>
      </c>
      <c r="M35" s="7"/>
      <c r="N35" s="208"/>
    </row>
    <row r="36" spans="1:14" ht="15.6" x14ac:dyDescent="0.3">
      <c r="A36" s="3"/>
      <c r="B36" s="3"/>
      <c r="C36" s="3">
        <f t="shared" si="2"/>
        <v>-1700000</v>
      </c>
      <c r="D36" s="7"/>
      <c r="E36" s="8"/>
      <c r="F36" s="58"/>
      <c r="H36" s="92"/>
      <c r="I36" s="8"/>
      <c r="J36" s="41"/>
      <c r="K36" s="41"/>
      <c r="L36" s="7">
        <f t="shared" si="1"/>
        <v>0</v>
      </c>
      <c r="M36" s="7"/>
      <c r="N36" s="208"/>
    </row>
    <row r="37" spans="1:14" ht="15.6" x14ac:dyDescent="0.3">
      <c r="A37" s="3"/>
      <c r="B37" s="3"/>
      <c r="C37" s="3">
        <f>IF(A37&gt;0,C36+A37-B37,C36-B37)</f>
        <v>-1700000</v>
      </c>
      <c r="D37" s="7"/>
      <c r="E37" s="8"/>
      <c r="F37" s="58"/>
      <c r="I37" s="2"/>
    </row>
    <row r="38" spans="1:14" ht="15.6" x14ac:dyDescent="0.3">
      <c r="A38" s="3"/>
      <c r="B38" s="3"/>
      <c r="C38" s="3">
        <f t="shared" si="2"/>
        <v>-1700000</v>
      </c>
      <c r="D38" s="7"/>
      <c r="E38" s="8"/>
      <c r="F38" s="58"/>
    </row>
    <row r="39" spans="1:14" ht="15.6" x14ac:dyDescent="0.3">
      <c r="A39" s="3"/>
      <c r="B39" s="3"/>
      <c r="C39" s="3">
        <f t="shared" si="2"/>
        <v>-1700000</v>
      </c>
      <c r="D39" s="7"/>
      <c r="E39" s="8"/>
      <c r="F39" s="58"/>
    </row>
    <row r="40" spans="1:14" ht="15.6" x14ac:dyDescent="0.3">
      <c r="A40" s="3"/>
      <c r="B40" s="3"/>
      <c r="C40" s="3">
        <f t="shared" si="2"/>
        <v>-1700000</v>
      </c>
      <c r="D40" s="7"/>
      <c r="E40" s="8"/>
      <c r="F40" s="58"/>
    </row>
    <row r="41" spans="1:14" ht="15.6" x14ac:dyDescent="0.3">
      <c r="A41" s="3"/>
      <c r="B41" s="3"/>
      <c r="C41" s="3">
        <f t="shared" si="2"/>
        <v>-1700000</v>
      </c>
      <c r="D41" s="7"/>
      <c r="E41" s="8"/>
      <c r="F41" s="58"/>
    </row>
    <row r="42" spans="1:14" ht="15.6" x14ac:dyDescent="0.3">
      <c r="A42" s="3"/>
      <c r="B42" s="3"/>
      <c r="C42" s="3">
        <f t="shared" si="2"/>
        <v>-1700000</v>
      </c>
      <c r="D42" s="7"/>
      <c r="E42" s="8"/>
      <c r="F42" s="58"/>
    </row>
    <row r="43" spans="1:14" ht="15.6" x14ac:dyDescent="0.3">
      <c r="A43" s="3"/>
      <c r="B43" s="3"/>
      <c r="C43" s="3">
        <f t="shared" si="2"/>
        <v>-1700000</v>
      </c>
      <c r="D43" s="7"/>
      <c r="E43" s="8"/>
      <c r="F43" s="58"/>
    </row>
    <row r="44" spans="1:14" ht="15.6" x14ac:dyDescent="0.3">
      <c r="A44" s="3"/>
      <c r="B44" s="3"/>
      <c r="C44" s="3">
        <f t="shared" si="2"/>
        <v>-1700000</v>
      </c>
      <c r="D44" s="7"/>
      <c r="E44" s="8"/>
      <c r="F44" s="58"/>
    </row>
    <row r="45" spans="1:14" ht="15.6" x14ac:dyDescent="0.3">
      <c r="A45" s="3"/>
      <c r="B45" s="3"/>
      <c r="C45" s="3">
        <f t="shared" si="2"/>
        <v>-1700000</v>
      </c>
      <c r="D45" s="7"/>
      <c r="E45" s="8"/>
      <c r="F45" s="58"/>
    </row>
    <row r="46" spans="1:14" ht="15.6" x14ac:dyDescent="0.3">
      <c r="A46" s="3"/>
      <c r="B46" s="3"/>
      <c r="C46" s="3">
        <f t="shared" si="2"/>
        <v>-1700000</v>
      </c>
      <c r="D46" s="7"/>
      <c r="E46" s="8"/>
      <c r="F46" s="58"/>
    </row>
    <row r="47" spans="1:14" ht="15.6" x14ac:dyDescent="0.3">
      <c r="A47" s="3"/>
      <c r="B47" s="3"/>
      <c r="C47" s="3">
        <f t="shared" si="2"/>
        <v>-1700000</v>
      </c>
      <c r="D47" s="7"/>
      <c r="E47" s="8"/>
      <c r="F47" s="58"/>
    </row>
    <row r="48" spans="1:14" ht="15.6" x14ac:dyDescent="0.3">
      <c r="A48" s="3"/>
      <c r="B48" s="3"/>
      <c r="C48" s="3">
        <f t="shared" si="2"/>
        <v>-1700000</v>
      </c>
      <c r="D48" s="7"/>
      <c r="E48" s="8"/>
      <c r="F48" s="58"/>
    </row>
    <row r="49" spans="1:6" ht="15.6" x14ac:dyDescent="0.3">
      <c r="A49" s="3"/>
      <c r="B49" s="3"/>
      <c r="C49" s="3">
        <f t="shared" si="2"/>
        <v>-1700000</v>
      </c>
      <c r="D49" s="7"/>
      <c r="E49" s="8"/>
      <c r="F49" s="58"/>
    </row>
    <row r="50" spans="1:6" ht="15.6" x14ac:dyDescent="0.3">
      <c r="A50" s="3"/>
      <c r="B50" s="3"/>
      <c r="C50" s="3">
        <f t="shared" si="2"/>
        <v>-1700000</v>
      </c>
      <c r="D50" s="7"/>
      <c r="E50" s="8"/>
      <c r="F50" s="58"/>
    </row>
    <row r="51" spans="1:6" ht="15.6" x14ac:dyDescent="0.3">
      <c r="A51" s="3"/>
      <c r="B51" s="3"/>
      <c r="C51" s="3">
        <f t="shared" si="2"/>
        <v>-1700000</v>
      </c>
      <c r="D51" s="7"/>
      <c r="E51" s="8"/>
      <c r="F51" s="58"/>
    </row>
    <row r="52" spans="1:6" ht="15.6" x14ac:dyDescent="0.3">
      <c r="A52" s="3"/>
      <c r="B52" s="3"/>
      <c r="C52" s="3">
        <f t="shared" si="2"/>
        <v>-1700000</v>
      </c>
      <c r="D52" s="7"/>
      <c r="E52" s="8"/>
      <c r="F52" s="58"/>
    </row>
    <row r="53" spans="1:6" ht="15.6" x14ac:dyDescent="0.3">
      <c r="A53" s="3"/>
      <c r="B53" s="3"/>
      <c r="C53" s="3">
        <f t="shared" si="2"/>
        <v>-1700000</v>
      </c>
      <c r="D53" s="7"/>
      <c r="E53" s="8"/>
      <c r="F53" s="58"/>
    </row>
    <row r="54" spans="1:6" ht="15.6" x14ac:dyDescent="0.3">
      <c r="A54" s="3"/>
      <c r="B54" s="3"/>
      <c r="C54" s="3">
        <f t="shared" si="2"/>
        <v>-1700000</v>
      </c>
      <c r="D54" s="7"/>
      <c r="E54" s="8"/>
      <c r="F54" s="58"/>
    </row>
    <row r="55" spans="1:6" ht="15.6" x14ac:dyDescent="0.3">
      <c r="A55" s="3"/>
      <c r="B55" s="3"/>
      <c r="C55" s="3">
        <f t="shared" si="2"/>
        <v>-1700000</v>
      </c>
      <c r="D55" s="7"/>
      <c r="E55" s="8"/>
      <c r="F55" s="58"/>
    </row>
    <row r="56" spans="1:6" ht="15.6" x14ac:dyDescent="0.3">
      <c r="A56" s="3"/>
      <c r="B56" s="3"/>
      <c r="C56" s="3">
        <f t="shared" si="2"/>
        <v>-1700000</v>
      </c>
      <c r="D56" s="7"/>
      <c r="E56" s="8"/>
      <c r="F56" s="58"/>
    </row>
    <row r="57" spans="1:6" ht="15.6" x14ac:dyDescent="0.3">
      <c r="A57" s="3"/>
      <c r="B57" s="3"/>
      <c r="C57" s="3">
        <f t="shared" si="2"/>
        <v>-1700000</v>
      </c>
      <c r="D57" s="7"/>
      <c r="E57" s="8"/>
      <c r="F57" s="58"/>
    </row>
    <row r="58" spans="1:6" ht="15.6" x14ac:dyDescent="0.3">
      <c r="A58" s="3"/>
      <c r="B58" s="3"/>
      <c r="C58" s="3">
        <f t="shared" si="2"/>
        <v>-1700000</v>
      </c>
      <c r="D58" s="7"/>
      <c r="E58" s="8"/>
      <c r="F58" s="58"/>
    </row>
    <row r="59" spans="1:6" ht="15.6" x14ac:dyDescent="0.3">
      <c r="A59" s="3"/>
      <c r="B59" s="3"/>
      <c r="C59" s="3">
        <f t="shared" si="2"/>
        <v>-1700000</v>
      </c>
      <c r="D59" s="7"/>
      <c r="E59" s="8"/>
      <c r="F59" s="58"/>
    </row>
    <row r="60" spans="1:6" ht="15.6" x14ac:dyDescent="0.3">
      <c r="A60" s="3"/>
      <c r="B60" s="3"/>
      <c r="C60" s="3">
        <f t="shared" si="2"/>
        <v>-1700000</v>
      </c>
      <c r="D60" s="7"/>
      <c r="E60" s="8"/>
      <c r="F60" s="58"/>
    </row>
    <row r="61" spans="1:6" ht="15.6" x14ac:dyDescent="0.3">
      <c r="A61" s="3"/>
      <c r="B61" s="3"/>
      <c r="C61" s="3">
        <f t="shared" si="2"/>
        <v>-1700000</v>
      </c>
      <c r="D61" s="7"/>
      <c r="E61" s="8"/>
      <c r="F61" s="58"/>
    </row>
    <row r="62" spans="1:6" ht="15.6" x14ac:dyDescent="0.3">
      <c r="A62" s="3"/>
      <c r="B62" s="3"/>
      <c r="C62" s="3">
        <f t="shared" si="2"/>
        <v>-1700000</v>
      </c>
      <c r="D62" s="7"/>
      <c r="E62" s="8"/>
      <c r="F62" s="58"/>
    </row>
    <row r="63" spans="1:6" ht="15.6" x14ac:dyDescent="0.3">
      <c r="A63" s="3"/>
      <c r="B63" s="3"/>
      <c r="C63" s="3">
        <f t="shared" si="2"/>
        <v>-1700000</v>
      </c>
      <c r="D63" s="7"/>
      <c r="E63" s="8"/>
      <c r="F63" s="58"/>
    </row>
    <row r="64" spans="1:6" ht="15.6" x14ac:dyDescent="0.3">
      <c r="A64" s="3"/>
      <c r="B64" s="3"/>
      <c r="C64" s="3">
        <f t="shared" si="2"/>
        <v>-1700000</v>
      </c>
      <c r="D64" s="7"/>
      <c r="E64" s="8"/>
      <c r="F64" s="58"/>
    </row>
    <row r="65" spans="1:6" ht="15.6" x14ac:dyDescent="0.3">
      <c r="A65" s="3"/>
      <c r="B65" s="3"/>
      <c r="C65" s="3">
        <f t="shared" si="2"/>
        <v>-1700000</v>
      </c>
      <c r="D65" s="7"/>
      <c r="E65" s="8"/>
      <c r="F65" s="58"/>
    </row>
    <row r="66" spans="1:6" ht="15.6" x14ac:dyDescent="0.3">
      <c r="A66" s="3"/>
      <c r="B66" s="3"/>
      <c r="C66" s="3">
        <f t="shared" si="2"/>
        <v>-1700000</v>
      </c>
      <c r="D66" s="7"/>
      <c r="E66" s="8"/>
      <c r="F66" s="58"/>
    </row>
    <row r="67" spans="1:6" ht="15.6" x14ac:dyDescent="0.3">
      <c r="A67" s="3"/>
      <c r="B67" s="3"/>
      <c r="C67" s="3">
        <f t="shared" si="2"/>
        <v>-1700000</v>
      </c>
      <c r="D67" s="7"/>
      <c r="E67" s="8"/>
      <c r="F67" s="58"/>
    </row>
    <row r="68" spans="1:6" ht="15.6" x14ac:dyDescent="0.3">
      <c r="A68" s="3"/>
      <c r="B68" s="3"/>
      <c r="C68" s="3">
        <f t="shared" si="2"/>
        <v>-1700000</v>
      </c>
      <c r="D68" s="7"/>
      <c r="E68" s="8"/>
      <c r="F68" s="58"/>
    </row>
    <row r="69" spans="1:6" ht="15.6" x14ac:dyDescent="0.3">
      <c r="A69" s="3"/>
      <c r="B69" s="3"/>
      <c r="C69" s="3">
        <f t="shared" si="2"/>
        <v>-1700000</v>
      </c>
      <c r="D69" s="7"/>
      <c r="E69" s="8"/>
      <c r="F69" s="58"/>
    </row>
    <row r="70" spans="1:6" ht="15.6" x14ac:dyDescent="0.3">
      <c r="A70" s="3"/>
      <c r="B70" s="3"/>
      <c r="C70" s="3">
        <f t="shared" si="2"/>
        <v>-1700000</v>
      </c>
      <c r="D70" s="7"/>
      <c r="E70" s="8"/>
      <c r="F70" s="58"/>
    </row>
    <row r="71" spans="1:6" ht="15.6" x14ac:dyDescent="0.3">
      <c r="A71" s="3"/>
      <c r="B71" s="3"/>
      <c r="C71" s="3">
        <f t="shared" si="2"/>
        <v>-1700000</v>
      </c>
      <c r="D71" s="52"/>
      <c r="E71" s="8"/>
      <c r="F71" s="58"/>
    </row>
    <row r="72" spans="1:6" ht="15.6" x14ac:dyDescent="0.3">
      <c r="A72" s="3"/>
      <c r="B72" s="3"/>
      <c r="C72" s="3">
        <f t="shared" ref="C72:C135" si="3">IF(A72&gt;0,C71+A72-B72,C71-B72)</f>
        <v>-1700000</v>
      </c>
      <c r="D72" s="7"/>
      <c r="E72" s="8"/>
      <c r="F72" s="58"/>
    </row>
    <row r="73" spans="1:6" ht="15.6" x14ac:dyDescent="0.3">
      <c r="A73" s="3"/>
      <c r="B73" s="3"/>
      <c r="C73" s="3">
        <f t="shared" si="3"/>
        <v>-1700000</v>
      </c>
      <c r="D73" s="7"/>
      <c r="E73" s="8"/>
      <c r="F73" s="58"/>
    </row>
    <row r="74" spans="1:6" ht="15.6" x14ac:dyDescent="0.3">
      <c r="A74" s="3"/>
      <c r="B74" s="3"/>
      <c r="C74" s="3">
        <f t="shared" si="3"/>
        <v>-1700000</v>
      </c>
      <c r="D74" s="7"/>
      <c r="E74" s="8"/>
      <c r="F74" s="58"/>
    </row>
    <row r="75" spans="1:6" ht="15.6" x14ac:dyDescent="0.3">
      <c r="A75" s="3"/>
      <c r="B75" s="3"/>
      <c r="C75" s="3">
        <f t="shared" si="3"/>
        <v>-1700000</v>
      </c>
      <c r="D75" s="7"/>
      <c r="E75" s="8"/>
      <c r="F75" s="58"/>
    </row>
    <row r="76" spans="1:6" ht="15.6" x14ac:dyDescent="0.3">
      <c r="A76" s="3"/>
      <c r="B76" s="3"/>
      <c r="C76" s="3">
        <f t="shared" si="3"/>
        <v>-1700000</v>
      </c>
      <c r="D76" s="7"/>
      <c r="E76" s="8"/>
      <c r="F76" s="58"/>
    </row>
    <row r="77" spans="1:6" ht="15.6" x14ac:dyDescent="0.3">
      <c r="A77" s="3"/>
      <c r="B77" s="3"/>
      <c r="C77" s="3">
        <f t="shared" si="3"/>
        <v>-1700000</v>
      </c>
      <c r="D77" s="7"/>
      <c r="E77" s="8"/>
      <c r="F77" s="58"/>
    </row>
    <row r="78" spans="1:6" ht="15.6" x14ac:dyDescent="0.3">
      <c r="A78" s="3"/>
      <c r="B78" s="3"/>
      <c r="C78" s="3">
        <f t="shared" si="3"/>
        <v>-1700000</v>
      </c>
      <c r="D78" s="7"/>
      <c r="E78" s="8"/>
      <c r="F78" s="58"/>
    </row>
    <row r="79" spans="1:6" ht="15.6" x14ac:dyDescent="0.3">
      <c r="A79" s="3"/>
      <c r="B79" s="3"/>
      <c r="C79" s="3">
        <f t="shared" si="3"/>
        <v>-1700000</v>
      </c>
      <c r="D79" s="7"/>
      <c r="E79" s="8"/>
      <c r="F79" s="58"/>
    </row>
    <row r="80" spans="1:6" ht="15.6" x14ac:dyDescent="0.3">
      <c r="A80" s="3"/>
      <c r="B80" s="3"/>
      <c r="C80" s="3">
        <f t="shared" si="3"/>
        <v>-1700000</v>
      </c>
      <c r="D80" s="7"/>
      <c r="E80" s="8"/>
      <c r="F80" s="58"/>
    </row>
    <row r="81" spans="1:6" ht="15.6" x14ac:dyDescent="0.3">
      <c r="A81" s="3"/>
      <c r="B81" s="3"/>
      <c r="C81" s="3">
        <f t="shared" si="3"/>
        <v>-1700000</v>
      </c>
      <c r="D81" s="7"/>
      <c r="E81" s="8"/>
      <c r="F81" s="58"/>
    </row>
    <row r="82" spans="1:6" ht="15.6" x14ac:dyDescent="0.3">
      <c r="A82" s="3"/>
      <c r="B82" s="3"/>
      <c r="C82" s="3">
        <f t="shared" si="3"/>
        <v>-1700000</v>
      </c>
      <c r="D82" s="7"/>
      <c r="E82" s="8"/>
      <c r="F82" s="58"/>
    </row>
    <row r="83" spans="1:6" ht="15.6" x14ac:dyDescent="0.3">
      <c r="A83" s="3"/>
      <c r="B83" s="3"/>
      <c r="C83" s="3">
        <f t="shared" si="3"/>
        <v>-1700000</v>
      </c>
      <c r="D83" s="7"/>
      <c r="E83" s="8"/>
      <c r="F83" s="58"/>
    </row>
    <row r="84" spans="1:6" ht="15.6" x14ac:dyDescent="0.3">
      <c r="A84" s="3"/>
      <c r="B84" s="3"/>
      <c r="C84" s="3">
        <f t="shared" si="3"/>
        <v>-1700000</v>
      </c>
      <c r="D84" s="7"/>
      <c r="E84" s="8"/>
      <c r="F84" s="58"/>
    </row>
    <row r="85" spans="1:6" ht="15.6" x14ac:dyDescent="0.3">
      <c r="A85" s="3"/>
      <c r="B85" s="3"/>
      <c r="C85" s="3">
        <f t="shared" si="3"/>
        <v>-1700000</v>
      </c>
      <c r="D85" s="7"/>
      <c r="E85" s="8"/>
      <c r="F85" s="58"/>
    </row>
    <row r="86" spans="1:6" ht="15.6" x14ac:dyDescent="0.3">
      <c r="A86" s="3"/>
      <c r="B86" s="3"/>
      <c r="C86" s="3">
        <f t="shared" si="3"/>
        <v>-1700000</v>
      </c>
      <c r="D86" s="7"/>
      <c r="E86" s="8"/>
      <c r="F86" s="58"/>
    </row>
    <row r="87" spans="1:6" ht="15.6" x14ac:dyDescent="0.3">
      <c r="A87" s="3"/>
      <c r="B87" s="3"/>
      <c r="C87" s="3">
        <f t="shared" si="3"/>
        <v>-1700000</v>
      </c>
      <c r="D87" s="7"/>
      <c r="E87" s="8"/>
      <c r="F87" s="58"/>
    </row>
    <row r="88" spans="1:6" ht="15.6" x14ac:dyDescent="0.3">
      <c r="A88" s="3"/>
      <c r="B88" s="3"/>
      <c r="C88" s="3">
        <f t="shared" si="3"/>
        <v>-1700000</v>
      </c>
      <c r="D88" s="7"/>
      <c r="E88" s="8"/>
      <c r="F88" s="58"/>
    </row>
    <row r="89" spans="1:6" ht="15.6" x14ac:dyDescent="0.3">
      <c r="A89" s="3"/>
      <c r="B89" s="3"/>
      <c r="C89" s="3">
        <f t="shared" si="3"/>
        <v>-1700000</v>
      </c>
      <c r="D89" s="7"/>
      <c r="E89" s="8"/>
      <c r="F89" s="58"/>
    </row>
    <row r="90" spans="1:6" ht="15.6" x14ac:dyDescent="0.3">
      <c r="A90" s="3"/>
      <c r="B90" s="3"/>
      <c r="C90" s="3">
        <f t="shared" si="3"/>
        <v>-1700000</v>
      </c>
      <c r="D90" s="7"/>
      <c r="E90" s="8"/>
      <c r="F90" s="7"/>
    </row>
    <row r="91" spans="1:6" ht="15.6" x14ac:dyDescent="0.3">
      <c r="A91" s="3"/>
      <c r="B91" s="3"/>
      <c r="C91" s="3">
        <f t="shared" si="3"/>
        <v>-1700000</v>
      </c>
      <c r="D91" s="7"/>
      <c r="E91" s="8"/>
      <c r="F91" s="7"/>
    </row>
    <row r="92" spans="1:6" ht="15.6" x14ac:dyDescent="0.3">
      <c r="A92" s="3"/>
      <c r="B92" s="3"/>
      <c r="C92" s="3">
        <f t="shared" si="3"/>
        <v>-1700000</v>
      </c>
      <c r="D92" s="7"/>
      <c r="E92" s="8"/>
      <c r="F92" s="7"/>
    </row>
    <row r="93" spans="1:6" ht="15.6" x14ac:dyDescent="0.3">
      <c r="A93" s="3"/>
      <c r="B93" s="3"/>
      <c r="C93" s="3">
        <f t="shared" si="3"/>
        <v>-1700000</v>
      </c>
      <c r="D93" s="7"/>
      <c r="E93" s="8"/>
      <c r="F93" s="7"/>
    </row>
    <row r="94" spans="1:6" ht="15.6" x14ac:dyDescent="0.3">
      <c r="A94" s="3"/>
      <c r="B94" s="3"/>
      <c r="C94" s="3">
        <f t="shared" si="3"/>
        <v>-1700000</v>
      </c>
      <c r="D94" s="7"/>
      <c r="E94" s="8"/>
      <c r="F94" s="7"/>
    </row>
    <row r="95" spans="1:6" ht="15.6" x14ac:dyDescent="0.3">
      <c r="A95" s="3"/>
      <c r="B95" s="3"/>
      <c r="C95" s="3">
        <f t="shared" si="3"/>
        <v>-1700000</v>
      </c>
      <c r="D95" s="7"/>
      <c r="E95" s="8"/>
      <c r="F95" s="7"/>
    </row>
    <row r="96" spans="1:6" ht="15.6" x14ac:dyDescent="0.3">
      <c r="A96" s="3"/>
      <c r="B96" s="3"/>
      <c r="C96" s="3">
        <f t="shared" si="3"/>
        <v>-1700000</v>
      </c>
      <c r="D96" s="7"/>
      <c r="E96" s="8"/>
      <c r="F96" s="7"/>
    </row>
    <row r="97" spans="1:6" ht="15.6" x14ac:dyDescent="0.3">
      <c r="A97" s="3"/>
      <c r="B97" s="3"/>
      <c r="C97" s="3">
        <f t="shared" si="3"/>
        <v>-1700000</v>
      </c>
      <c r="D97" s="7"/>
      <c r="E97" s="8"/>
      <c r="F97" s="7"/>
    </row>
    <row r="98" spans="1:6" ht="15.6" x14ac:dyDescent="0.3">
      <c r="A98" s="3"/>
      <c r="B98" s="3"/>
      <c r="C98" s="3">
        <f t="shared" si="3"/>
        <v>-1700000</v>
      </c>
      <c r="D98" s="7"/>
      <c r="E98" s="8"/>
      <c r="F98" s="7"/>
    </row>
    <row r="99" spans="1:6" ht="15.6" x14ac:dyDescent="0.3">
      <c r="A99" s="3"/>
      <c r="B99" s="3"/>
      <c r="C99" s="3">
        <f t="shared" si="3"/>
        <v>-1700000</v>
      </c>
      <c r="D99" s="7"/>
      <c r="E99" s="8"/>
      <c r="F99" s="7"/>
    </row>
    <row r="100" spans="1:6" ht="15.6" x14ac:dyDescent="0.3">
      <c r="A100" s="3"/>
      <c r="B100" s="3"/>
      <c r="C100" s="3">
        <f t="shared" si="3"/>
        <v>-1700000</v>
      </c>
      <c r="D100" s="7"/>
      <c r="E100" s="8"/>
      <c r="F100" s="7"/>
    </row>
    <row r="101" spans="1:6" ht="15.6" x14ac:dyDescent="0.3">
      <c r="A101" s="3"/>
      <c r="B101" s="3"/>
      <c r="C101" s="3">
        <f t="shared" si="3"/>
        <v>-1700000</v>
      </c>
      <c r="D101" s="7"/>
      <c r="E101" s="8"/>
      <c r="F101" s="7"/>
    </row>
    <row r="102" spans="1:6" ht="15.6" x14ac:dyDescent="0.3">
      <c r="A102" s="3"/>
      <c r="B102" s="3"/>
      <c r="C102" s="3">
        <f t="shared" si="3"/>
        <v>-1700000</v>
      </c>
      <c r="D102" s="7"/>
      <c r="E102" s="8"/>
      <c r="F102" s="7"/>
    </row>
    <row r="103" spans="1:6" ht="15.6" x14ac:dyDescent="0.3">
      <c r="A103" s="3"/>
      <c r="B103" s="3"/>
      <c r="C103" s="3">
        <f t="shared" si="3"/>
        <v>-1700000</v>
      </c>
      <c r="D103" s="7"/>
      <c r="E103" s="8"/>
      <c r="F103" s="7"/>
    </row>
    <row r="104" spans="1:6" ht="15.6" x14ac:dyDescent="0.3">
      <c r="A104" s="3"/>
      <c r="B104" s="3"/>
      <c r="C104" s="3">
        <f t="shared" si="3"/>
        <v>-1700000</v>
      </c>
      <c r="D104" s="7"/>
      <c r="E104" s="8"/>
      <c r="F104" s="7"/>
    </row>
    <row r="105" spans="1:6" ht="15.6" x14ac:dyDescent="0.3">
      <c r="A105" s="3"/>
      <c r="B105" s="3"/>
      <c r="C105" s="3">
        <f t="shared" si="3"/>
        <v>-1700000</v>
      </c>
      <c r="D105" s="7"/>
      <c r="E105" s="8"/>
      <c r="F105" s="7"/>
    </row>
    <row r="106" spans="1:6" ht="15.6" x14ac:dyDescent="0.3">
      <c r="A106" s="3"/>
      <c r="B106" s="3"/>
      <c r="C106" s="3">
        <f t="shared" si="3"/>
        <v>-1700000</v>
      </c>
      <c r="D106" s="7"/>
      <c r="E106" s="8"/>
      <c r="F106" s="7"/>
    </row>
    <row r="107" spans="1:6" ht="15.6" x14ac:dyDescent="0.3">
      <c r="A107" s="3"/>
      <c r="B107" s="3"/>
      <c r="C107" s="3">
        <f t="shared" si="3"/>
        <v>-1700000</v>
      </c>
      <c r="D107" s="7"/>
      <c r="E107" s="8"/>
      <c r="F107" s="7"/>
    </row>
    <row r="108" spans="1:6" ht="15.6" x14ac:dyDescent="0.3">
      <c r="A108" s="3"/>
      <c r="B108" s="3"/>
      <c r="C108" s="3">
        <f t="shared" si="3"/>
        <v>-1700000</v>
      </c>
      <c r="D108" s="7"/>
      <c r="E108" s="8"/>
      <c r="F108" s="7"/>
    </row>
    <row r="109" spans="1:6" ht="15.6" x14ac:dyDescent="0.3">
      <c r="A109" s="3"/>
      <c r="B109" s="3"/>
      <c r="C109" s="3">
        <f t="shared" si="3"/>
        <v>-1700000</v>
      </c>
      <c r="D109" s="7"/>
      <c r="E109" s="8"/>
      <c r="F109" s="7"/>
    </row>
    <row r="110" spans="1:6" ht="15.6" x14ac:dyDescent="0.3">
      <c r="A110" s="3"/>
      <c r="B110" s="3"/>
      <c r="C110" s="3">
        <f t="shared" si="3"/>
        <v>-1700000</v>
      </c>
      <c r="D110" s="7"/>
      <c r="E110" s="8"/>
      <c r="F110" s="7"/>
    </row>
    <row r="111" spans="1:6" ht="15.6" x14ac:dyDescent="0.3">
      <c r="A111" s="3"/>
      <c r="B111" s="3"/>
      <c r="C111" s="3">
        <f t="shared" si="3"/>
        <v>-1700000</v>
      </c>
      <c r="D111" s="7"/>
      <c r="E111" s="8"/>
      <c r="F111" s="7"/>
    </row>
    <row r="112" spans="1:6" ht="15.6" x14ac:dyDescent="0.3">
      <c r="A112" s="3"/>
      <c r="B112" s="3"/>
      <c r="C112" s="3">
        <f t="shared" si="3"/>
        <v>-1700000</v>
      </c>
      <c r="D112" s="7"/>
      <c r="E112" s="8"/>
      <c r="F112" s="7"/>
    </row>
    <row r="113" spans="1:6" ht="15.6" x14ac:dyDescent="0.3">
      <c r="A113" s="3"/>
      <c r="B113" s="3"/>
      <c r="C113" s="3">
        <f t="shared" si="3"/>
        <v>-1700000</v>
      </c>
      <c r="D113" s="7"/>
      <c r="E113" s="8"/>
      <c r="F113" s="7"/>
    </row>
    <row r="114" spans="1:6" ht="15.6" x14ac:dyDescent="0.3">
      <c r="A114" s="3"/>
      <c r="B114" s="3"/>
      <c r="C114" s="3">
        <f t="shared" si="3"/>
        <v>-1700000</v>
      </c>
      <c r="D114" s="7"/>
      <c r="E114" s="8"/>
      <c r="F114" s="7"/>
    </row>
    <row r="115" spans="1:6" ht="15.6" x14ac:dyDescent="0.3">
      <c r="A115" s="3"/>
      <c r="B115" s="3"/>
      <c r="C115" s="3">
        <f t="shared" si="3"/>
        <v>-1700000</v>
      </c>
      <c r="D115" s="7"/>
      <c r="E115" s="8"/>
      <c r="F115" s="7"/>
    </row>
    <row r="116" spans="1:6" ht="15.6" x14ac:dyDescent="0.3">
      <c r="A116" s="3"/>
      <c r="B116" s="3"/>
      <c r="C116" s="3">
        <f t="shared" si="3"/>
        <v>-1700000</v>
      </c>
      <c r="D116" s="7"/>
      <c r="E116" s="8"/>
      <c r="F116" s="7"/>
    </row>
    <row r="117" spans="1:6" ht="15.6" x14ac:dyDescent="0.3">
      <c r="A117" s="3"/>
      <c r="B117" s="3"/>
      <c r="C117" s="3">
        <f t="shared" si="3"/>
        <v>-1700000</v>
      </c>
      <c r="D117" s="7"/>
      <c r="E117" s="8"/>
      <c r="F117" s="7"/>
    </row>
    <row r="118" spans="1:6" ht="15.6" x14ac:dyDescent="0.3">
      <c r="A118" s="3"/>
      <c r="B118" s="3"/>
      <c r="C118" s="3">
        <f t="shared" si="3"/>
        <v>-1700000</v>
      </c>
      <c r="D118" s="7"/>
      <c r="E118" s="8"/>
      <c r="F118" s="7"/>
    </row>
    <row r="119" spans="1:6" ht="15.6" x14ac:dyDescent="0.3">
      <c r="A119" s="3"/>
      <c r="B119" s="3"/>
      <c r="C119" s="3">
        <f t="shared" si="3"/>
        <v>-1700000</v>
      </c>
      <c r="D119" s="7"/>
      <c r="E119" s="8"/>
      <c r="F119" s="7"/>
    </row>
    <row r="120" spans="1:6" ht="15.6" x14ac:dyDescent="0.3">
      <c r="A120" s="3"/>
      <c r="B120" s="3"/>
      <c r="C120" s="3">
        <f t="shared" si="3"/>
        <v>-1700000</v>
      </c>
      <c r="D120" s="7"/>
      <c r="E120" s="8"/>
      <c r="F120" s="7"/>
    </row>
    <row r="121" spans="1:6" ht="15.6" x14ac:dyDescent="0.3">
      <c r="A121" s="3"/>
      <c r="B121" s="3"/>
      <c r="C121" s="3">
        <f t="shared" si="3"/>
        <v>-1700000</v>
      </c>
      <c r="D121" s="7"/>
      <c r="E121" s="8"/>
      <c r="F121" s="7"/>
    </row>
    <row r="122" spans="1:6" ht="15.6" x14ac:dyDescent="0.3">
      <c r="A122" s="3"/>
      <c r="B122" s="3"/>
      <c r="C122" s="3">
        <f t="shared" si="3"/>
        <v>-1700000</v>
      </c>
      <c r="D122" s="7"/>
      <c r="E122" s="8"/>
      <c r="F122" s="7"/>
    </row>
    <row r="123" spans="1:6" ht="15.6" x14ac:dyDescent="0.3">
      <c r="A123" s="3"/>
      <c r="B123" s="3"/>
      <c r="C123" s="3">
        <f t="shared" si="3"/>
        <v>-1700000</v>
      </c>
      <c r="D123" s="7"/>
      <c r="E123" s="8"/>
      <c r="F123" s="7"/>
    </row>
    <row r="124" spans="1:6" ht="15.6" x14ac:dyDescent="0.3">
      <c r="A124" s="3"/>
      <c r="B124" s="3"/>
      <c r="C124" s="3">
        <f t="shared" si="3"/>
        <v>-1700000</v>
      </c>
      <c r="D124" s="7"/>
      <c r="E124" s="8"/>
      <c r="F124" s="7"/>
    </row>
    <row r="125" spans="1:6" ht="15.6" x14ac:dyDescent="0.3">
      <c r="A125" s="3"/>
      <c r="B125" s="3"/>
      <c r="C125" s="3">
        <f t="shared" si="3"/>
        <v>-1700000</v>
      </c>
      <c r="D125" s="7"/>
      <c r="E125" s="8"/>
      <c r="F125" s="7"/>
    </row>
    <row r="126" spans="1:6" ht="15.6" x14ac:dyDescent="0.3">
      <c r="A126" s="3"/>
      <c r="B126" s="3"/>
      <c r="C126" s="3">
        <f t="shared" si="3"/>
        <v>-1700000</v>
      </c>
      <c r="D126" s="7"/>
      <c r="E126" s="8"/>
      <c r="F126" s="7"/>
    </row>
    <row r="127" spans="1:6" ht="15.6" x14ac:dyDescent="0.3">
      <c r="A127" s="3"/>
      <c r="B127" s="3"/>
      <c r="C127" s="3">
        <f t="shared" si="3"/>
        <v>-1700000</v>
      </c>
      <c r="D127" s="7"/>
      <c r="E127" s="8"/>
      <c r="F127" s="7"/>
    </row>
    <row r="128" spans="1:6" ht="15.6" x14ac:dyDescent="0.3">
      <c r="A128" s="3"/>
      <c r="B128" s="3"/>
      <c r="C128" s="3">
        <f t="shared" si="3"/>
        <v>-1700000</v>
      </c>
      <c r="D128" s="7"/>
      <c r="E128" s="8"/>
      <c r="F128" s="7"/>
    </row>
    <row r="129" spans="1:6" ht="15.6" x14ac:dyDescent="0.3">
      <c r="A129" s="3"/>
      <c r="B129" s="3"/>
      <c r="C129" s="3">
        <f t="shared" si="3"/>
        <v>-1700000</v>
      </c>
      <c r="D129" s="7"/>
      <c r="E129" s="8"/>
      <c r="F129" s="7"/>
    </row>
    <row r="130" spans="1:6" ht="15.6" x14ac:dyDescent="0.3">
      <c r="A130" s="3"/>
      <c r="B130" s="3"/>
      <c r="C130" s="3">
        <f t="shared" si="3"/>
        <v>-1700000</v>
      </c>
      <c r="D130" s="7"/>
      <c r="E130" s="8"/>
      <c r="F130" s="7"/>
    </row>
    <row r="131" spans="1:6" ht="15.6" x14ac:dyDescent="0.3">
      <c r="A131" s="3"/>
      <c r="B131" s="3"/>
      <c r="C131" s="3">
        <f t="shared" si="3"/>
        <v>-1700000</v>
      </c>
      <c r="D131" s="7"/>
      <c r="E131" s="8"/>
      <c r="F131" s="7"/>
    </row>
    <row r="132" spans="1:6" ht="15.6" x14ac:dyDescent="0.3">
      <c r="A132" s="3"/>
      <c r="B132" s="3"/>
      <c r="C132" s="3">
        <f t="shared" si="3"/>
        <v>-1700000</v>
      </c>
      <c r="D132" s="7"/>
      <c r="E132" s="8"/>
      <c r="F132" s="7"/>
    </row>
    <row r="133" spans="1:6" ht="15.6" x14ac:dyDescent="0.3">
      <c r="A133" s="3"/>
      <c r="B133" s="3"/>
      <c r="C133" s="3">
        <f t="shared" si="3"/>
        <v>-1700000</v>
      </c>
      <c r="D133" s="7"/>
      <c r="E133" s="8"/>
      <c r="F133" s="7"/>
    </row>
    <row r="134" spans="1:6" ht="15.6" x14ac:dyDescent="0.3">
      <c r="A134" s="3"/>
      <c r="B134" s="3"/>
      <c r="C134" s="3">
        <f t="shared" si="3"/>
        <v>-1700000</v>
      </c>
      <c r="D134" s="7"/>
      <c r="E134" s="8"/>
      <c r="F134" s="7"/>
    </row>
    <row r="135" spans="1:6" ht="15.6" x14ac:dyDescent="0.3">
      <c r="A135" s="3"/>
      <c r="B135" s="3"/>
      <c r="C135" s="3">
        <f t="shared" si="3"/>
        <v>-1700000</v>
      </c>
      <c r="D135" s="7"/>
      <c r="E135" s="8"/>
      <c r="F135" s="7"/>
    </row>
    <row r="136" spans="1:6" ht="15.6" x14ac:dyDescent="0.3">
      <c r="A136" s="3"/>
      <c r="B136" s="3"/>
      <c r="C136" s="3">
        <f t="shared" ref="C136:C153" si="4">IF(A136&gt;0,C135+A136-B136,C135-B136)</f>
        <v>-1700000</v>
      </c>
      <c r="D136" s="7"/>
      <c r="E136" s="8"/>
      <c r="F136" s="7"/>
    </row>
    <row r="137" spans="1:6" ht="15.6" x14ac:dyDescent="0.3">
      <c r="A137" s="3"/>
      <c r="B137" s="3"/>
      <c r="C137" s="3">
        <f t="shared" si="4"/>
        <v>-1700000</v>
      </c>
      <c r="D137" s="7"/>
      <c r="E137" s="8"/>
      <c r="F137" s="7"/>
    </row>
    <row r="138" spans="1:6" ht="15.6" x14ac:dyDescent="0.3">
      <c r="A138" s="3"/>
      <c r="B138" s="3"/>
      <c r="C138" s="3">
        <f t="shared" si="4"/>
        <v>-1700000</v>
      </c>
      <c r="D138" s="7"/>
      <c r="E138" s="8"/>
      <c r="F138" s="7"/>
    </row>
    <row r="139" spans="1:6" ht="15.6" x14ac:dyDescent="0.3">
      <c r="A139" s="3"/>
      <c r="B139" s="3"/>
      <c r="C139" s="3">
        <f t="shared" si="4"/>
        <v>-1700000</v>
      </c>
      <c r="D139" s="7"/>
      <c r="E139" s="8"/>
      <c r="F139" s="7"/>
    </row>
    <row r="140" spans="1:6" ht="15.6" x14ac:dyDescent="0.3">
      <c r="A140" s="3"/>
      <c r="B140" s="3"/>
      <c r="C140" s="3">
        <f t="shared" si="4"/>
        <v>-1700000</v>
      </c>
      <c r="D140" s="7"/>
      <c r="E140" s="8"/>
      <c r="F140" s="7"/>
    </row>
    <row r="141" spans="1:6" ht="15.6" x14ac:dyDescent="0.3">
      <c r="A141" s="3"/>
      <c r="B141" s="3"/>
      <c r="C141" s="3">
        <f t="shared" si="4"/>
        <v>-1700000</v>
      </c>
      <c r="D141" s="7"/>
      <c r="E141" s="8"/>
      <c r="F141" s="7"/>
    </row>
    <row r="142" spans="1:6" ht="15.6" x14ac:dyDescent="0.3">
      <c r="A142" s="3"/>
      <c r="B142" s="3"/>
      <c r="C142" s="3">
        <f t="shared" si="4"/>
        <v>-1700000</v>
      </c>
      <c r="D142" s="7"/>
      <c r="E142" s="8"/>
      <c r="F142" s="7"/>
    </row>
    <row r="143" spans="1:6" ht="15.6" x14ac:dyDescent="0.3">
      <c r="A143" s="3"/>
      <c r="B143" s="3"/>
      <c r="C143" s="3">
        <f t="shared" si="4"/>
        <v>-1700000</v>
      </c>
      <c r="D143" s="7"/>
      <c r="E143" s="8"/>
      <c r="F143" s="7"/>
    </row>
    <row r="144" spans="1:6" ht="15.6" x14ac:dyDescent="0.3">
      <c r="A144" s="3"/>
      <c r="B144" s="3"/>
      <c r="C144" s="3">
        <f t="shared" si="4"/>
        <v>-1700000</v>
      </c>
      <c r="D144" s="7"/>
      <c r="E144" s="8"/>
      <c r="F144" s="7"/>
    </row>
    <row r="145" spans="1:6" ht="15.6" x14ac:dyDescent="0.3">
      <c r="A145" s="3"/>
      <c r="B145" s="3"/>
      <c r="C145" s="3">
        <f t="shared" si="4"/>
        <v>-1700000</v>
      </c>
      <c r="D145" s="7"/>
      <c r="E145" s="8"/>
      <c r="F145" s="7"/>
    </row>
    <row r="146" spans="1:6" ht="15.6" x14ac:dyDescent="0.3">
      <c r="A146" s="3"/>
      <c r="B146" s="3"/>
      <c r="C146" s="3">
        <f t="shared" si="4"/>
        <v>-1700000</v>
      </c>
      <c r="D146" s="7"/>
      <c r="E146" s="8"/>
      <c r="F146" s="7"/>
    </row>
    <row r="147" spans="1:6" ht="15.6" x14ac:dyDescent="0.3">
      <c r="A147" s="3"/>
      <c r="B147" s="3"/>
      <c r="C147" s="3">
        <f t="shared" si="4"/>
        <v>-1700000</v>
      </c>
      <c r="D147" s="7"/>
      <c r="E147" s="8"/>
      <c r="F147" s="7"/>
    </row>
    <row r="148" spans="1:6" ht="15.6" x14ac:dyDescent="0.3">
      <c r="A148" s="3"/>
      <c r="B148" s="3"/>
      <c r="C148" s="3">
        <f t="shared" si="4"/>
        <v>-1700000</v>
      </c>
      <c r="D148" s="7"/>
      <c r="E148" s="8"/>
      <c r="F148" s="7"/>
    </row>
    <row r="149" spans="1:6" ht="15.6" x14ac:dyDescent="0.3">
      <c r="A149" s="3"/>
      <c r="B149" s="3"/>
      <c r="C149" s="3">
        <f t="shared" si="4"/>
        <v>-1700000</v>
      </c>
      <c r="D149" s="7"/>
      <c r="E149" s="8"/>
      <c r="F149" s="7"/>
    </row>
    <row r="150" spans="1:6" ht="15.6" x14ac:dyDescent="0.3">
      <c r="A150" s="3"/>
      <c r="B150" s="3"/>
      <c r="C150" s="3">
        <f t="shared" si="4"/>
        <v>-1700000</v>
      </c>
      <c r="D150" s="7"/>
      <c r="E150" s="8"/>
      <c r="F150" s="7"/>
    </row>
    <row r="151" spans="1:6" ht="15.6" x14ac:dyDescent="0.3">
      <c r="A151" s="3"/>
      <c r="B151" s="3"/>
      <c r="C151" s="3">
        <f t="shared" si="4"/>
        <v>-1700000</v>
      </c>
      <c r="D151" s="7"/>
      <c r="E151" s="8"/>
      <c r="F151" s="7"/>
    </row>
    <row r="152" spans="1:6" ht="15.6" x14ac:dyDescent="0.3">
      <c r="A152" s="3"/>
      <c r="B152" s="3"/>
      <c r="C152" s="3">
        <f t="shared" si="4"/>
        <v>-1700000</v>
      </c>
      <c r="D152" s="7"/>
      <c r="E152" s="8"/>
      <c r="F152" s="7"/>
    </row>
    <row r="153" spans="1:6" ht="15.6" x14ac:dyDescent="0.3">
      <c r="A153" s="3"/>
      <c r="B153" s="3"/>
      <c r="C153" s="3">
        <f t="shared" si="4"/>
        <v>-1700000</v>
      </c>
      <c r="D153" s="7"/>
      <c r="E153" s="8"/>
      <c r="F153" s="7"/>
    </row>
  </sheetData>
  <mergeCells count="3">
    <mergeCell ref="A3:C3"/>
    <mergeCell ref="K8:L8"/>
    <mergeCell ref="N12:N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6"/>
  <sheetViews>
    <sheetView rightToLeft="1" workbookViewId="0">
      <pane ySplit="5" topLeftCell="A32" activePane="bottomLeft" state="frozen"/>
      <selection pane="bottomLeft" activeCell="A36" sqref="A36"/>
    </sheetView>
  </sheetViews>
  <sheetFormatPr defaultColWidth="9" defaultRowHeight="14.4" x14ac:dyDescent="0.3"/>
  <cols>
    <col min="1" max="1" width="15.44140625" bestFit="1" customWidth="1"/>
    <col min="2" max="2" width="11.88671875" customWidth="1"/>
    <col min="3" max="3" width="12.6640625" bestFit="1" customWidth="1"/>
    <col min="4" max="4" width="31.44140625" customWidth="1"/>
    <col min="5" max="5" width="18.33203125" bestFit="1" customWidth="1"/>
    <col min="9" max="9" width="9.88671875" customWidth="1"/>
    <col min="10" max="10" width="12.33203125" bestFit="1" customWidth="1"/>
    <col min="11" max="11" width="17.5546875" bestFit="1" customWidth="1"/>
    <col min="12" max="12" width="29" style="228" customWidth="1"/>
    <col min="13" max="13" width="11.44140625" customWidth="1"/>
    <col min="14" max="14" width="31" customWidth="1"/>
    <col min="15" max="15" width="11" bestFit="1" customWidth="1"/>
  </cols>
  <sheetData>
    <row r="1" spans="1:14" ht="15.6" x14ac:dyDescent="0.3">
      <c r="A1" s="1"/>
      <c r="B1" s="1"/>
      <c r="C1" s="1"/>
      <c r="D1" s="1"/>
      <c r="E1" s="2"/>
      <c r="F1" s="1"/>
    </row>
    <row r="2" spans="1:14" ht="32.25" customHeight="1" x14ac:dyDescent="0.3">
      <c r="A2" s="3">
        <f>SUBTOTAL(9,A5:A156)</f>
        <v>14250000</v>
      </c>
      <c r="B2" s="3">
        <f>SUBTOTAL(9,B5:B156)</f>
        <v>14250000</v>
      </c>
      <c r="C2" s="3">
        <f>A2-B2</f>
        <v>0</v>
      </c>
      <c r="D2" s="1"/>
      <c r="E2" s="2"/>
      <c r="F2" s="1"/>
    </row>
    <row r="3" spans="1:14" ht="29.25" customHeight="1" x14ac:dyDescent="0.3">
      <c r="A3" s="6" t="s">
        <v>305</v>
      </c>
      <c r="B3" s="6"/>
      <c r="C3" s="6"/>
      <c r="D3" s="5" t="s">
        <v>1</v>
      </c>
      <c r="E3" s="6"/>
      <c r="F3" s="6"/>
    </row>
    <row r="4" spans="1:14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4" ht="0.75" customHeight="1" x14ac:dyDescent="0.3">
      <c r="A5" s="7"/>
      <c r="B5" s="7"/>
      <c r="C5" s="7">
        <v>0</v>
      </c>
      <c r="D5" s="7"/>
      <c r="E5" s="8"/>
      <c r="F5" s="7"/>
    </row>
    <row r="6" spans="1:14" ht="15.6" x14ac:dyDescent="0.3">
      <c r="A6" s="4"/>
      <c r="B6" s="4">
        <v>2100000</v>
      </c>
      <c r="C6" s="4">
        <f>IF(A6&gt;0,C5+A6-B6,C5-B6)</f>
        <v>-2100000</v>
      </c>
      <c r="D6" s="81" t="s">
        <v>306</v>
      </c>
      <c r="E6" s="46">
        <v>45392</v>
      </c>
      <c r="F6" s="58"/>
      <c r="I6" s="6"/>
      <c r="J6" s="5" t="s">
        <v>37</v>
      </c>
      <c r="K6" s="6" t="s">
        <v>324</v>
      </c>
      <c r="L6" s="289" t="s">
        <v>325</v>
      </c>
      <c r="M6" s="290"/>
      <c r="N6" s="6" t="s">
        <v>47</v>
      </c>
    </row>
    <row r="7" spans="1:14" ht="15.6" x14ac:dyDescent="0.3">
      <c r="A7" s="4"/>
      <c r="B7" s="4">
        <v>4960000</v>
      </c>
      <c r="C7" s="4">
        <f t="shared" ref="C7:C71" si="0">IF(A7&gt;0,C6+A7-B7,C6-B7)</f>
        <v>-7060000</v>
      </c>
      <c r="D7" s="81" t="s">
        <v>307</v>
      </c>
      <c r="E7" s="46">
        <v>45392</v>
      </c>
      <c r="F7" s="58"/>
      <c r="I7" s="7" t="s">
        <v>40</v>
      </c>
      <c r="J7" s="7" t="s">
        <v>6</v>
      </c>
      <c r="K7" s="41" t="s">
        <v>41</v>
      </c>
      <c r="L7" s="235" t="s">
        <v>42</v>
      </c>
      <c r="M7" s="7" t="s">
        <v>43</v>
      </c>
      <c r="N7" s="7" t="s">
        <v>7</v>
      </c>
    </row>
    <row r="8" spans="1:14" ht="15.6" x14ac:dyDescent="0.3">
      <c r="A8" s="4"/>
      <c r="B8" s="4">
        <v>3690000</v>
      </c>
      <c r="C8" s="4">
        <f t="shared" si="0"/>
        <v>-10750000</v>
      </c>
      <c r="D8" s="81" t="s">
        <v>308</v>
      </c>
      <c r="E8" s="46" t="s">
        <v>309</v>
      </c>
      <c r="F8" s="58"/>
      <c r="I8" s="7"/>
      <c r="J8" s="7"/>
      <c r="K8" s="41">
        <f>15*140000</f>
        <v>2100000</v>
      </c>
      <c r="L8" s="235"/>
      <c r="M8" s="7">
        <f>K8-L8</f>
        <v>2100000</v>
      </c>
      <c r="N8" s="7" t="s">
        <v>44</v>
      </c>
    </row>
    <row r="9" spans="1:14" ht="15.6" x14ac:dyDescent="0.3">
      <c r="A9" s="4"/>
      <c r="B9" s="4">
        <v>3500000</v>
      </c>
      <c r="C9" s="4">
        <f t="shared" si="0"/>
        <v>-14250000</v>
      </c>
      <c r="D9" s="81" t="s">
        <v>10</v>
      </c>
      <c r="E9" s="46" t="s">
        <v>310</v>
      </c>
      <c r="F9" s="58"/>
      <c r="I9" s="7"/>
      <c r="J9" s="8"/>
      <c r="K9" s="41"/>
      <c r="L9" s="235"/>
      <c r="M9" s="7">
        <f>M8-L9</f>
        <v>2100000</v>
      </c>
      <c r="N9" s="7" t="s">
        <v>58</v>
      </c>
    </row>
    <row r="10" spans="1:14" ht="15.6" x14ac:dyDescent="0.3">
      <c r="A10" s="3">
        <v>140000</v>
      </c>
      <c r="B10" s="3"/>
      <c r="C10" s="3">
        <f t="shared" si="0"/>
        <v>-14110000</v>
      </c>
      <c r="D10" s="57" t="s">
        <v>311</v>
      </c>
      <c r="E10" s="94">
        <v>45508</v>
      </c>
      <c r="F10" s="58"/>
      <c r="I10" s="7">
        <v>1</v>
      </c>
      <c r="J10" s="8">
        <v>45392</v>
      </c>
      <c r="K10" s="41"/>
      <c r="L10" s="235">
        <v>140000</v>
      </c>
      <c r="M10" s="7">
        <f t="shared" ref="M10:M25" si="1">M9-L10</f>
        <v>1960000</v>
      </c>
      <c r="N10" s="52">
        <v>45390</v>
      </c>
    </row>
    <row r="11" spans="1:14" ht="15.6" x14ac:dyDescent="0.3">
      <c r="A11" s="83">
        <v>20000</v>
      </c>
      <c r="B11" s="3"/>
      <c r="C11" s="3">
        <f t="shared" si="0"/>
        <v>-14090000</v>
      </c>
      <c r="D11" s="57" t="s">
        <v>312</v>
      </c>
      <c r="E11" s="94">
        <v>45403</v>
      </c>
      <c r="F11" s="58"/>
      <c r="I11" s="7">
        <v>2</v>
      </c>
      <c r="J11" s="8">
        <v>45422</v>
      </c>
      <c r="K11" s="41"/>
      <c r="L11" s="235">
        <v>140000</v>
      </c>
      <c r="M11" s="7">
        <f t="shared" si="1"/>
        <v>1820000</v>
      </c>
      <c r="N11" s="52">
        <v>45533</v>
      </c>
    </row>
    <row r="12" spans="1:14" ht="15.6" x14ac:dyDescent="0.3">
      <c r="A12" s="83">
        <v>300000</v>
      </c>
      <c r="B12" s="3"/>
      <c r="C12" s="3">
        <f t="shared" si="0"/>
        <v>-13790000</v>
      </c>
      <c r="D12" s="57" t="s">
        <v>313</v>
      </c>
      <c r="E12" s="94">
        <v>45412</v>
      </c>
      <c r="F12" s="58"/>
      <c r="I12" s="7">
        <v>3</v>
      </c>
      <c r="J12" s="8">
        <v>45564</v>
      </c>
      <c r="K12" s="41"/>
      <c r="L12" s="235">
        <v>140000</v>
      </c>
      <c r="M12" s="7">
        <f t="shared" si="1"/>
        <v>1680000</v>
      </c>
      <c r="N12" s="52"/>
    </row>
    <row r="13" spans="1:14" ht="15.6" x14ac:dyDescent="0.3">
      <c r="A13" s="83">
        <v>165000</v>
      </c>
      <c r="B13" s="3"/>
      <c r="C13" s="3">
        <f t="shared" si="0"/>
        <v>-13625000</v>
      </c>
      <c r="D13" s="57" t="s">
        <v>314</v>
      </c>
      <c r="E13" s="94">
        <v>45426</v>
      </c>
      <c r="F13" s="58"/>
      <c r="I13" s="7">
        <v>4</v>
      </c>
      <c r="J13" s="8">
        <v>45483</v>
      </c>
      <c r="K13" s="41"/>
      <c r="L13" s="235">
        <v>140000</v>
      </c>
      <c r="M13" s="7">
        <f t="shared" si="1"/>
        <v>1540000</v>
      </c>
      <c r="N13" s="7"/>
    </row>
    <row r="14" spans="1:14" ht="15.6" x14ac:dyDescent="0.3">
      <c r="A14" s="83">
        <v>100000</v>
      </c>
      <c r="B14" s="3"/>
      <c r="C14" s="3">
        <f t="shared" si="0"/>
        <v>-13525000</v>
      </c>
      <c r="D14" s="57" t="s">
        <v>315</v>
      </c>
      <c r="E14" s="94">
        <v>45426</v>
      </c>
      <c r="F14" s="58"/>
      <c r="I14" s="7">
        <v>5</v>
      </c>
      <c r="J14" s="8">
        <v>45514</v>
      </c>
      <c r="K14" s="41"/>
      <c r="L14" s="235">
        <v>140000</v>
      </c>
      <c r="M14" s="7">
        <f t="shared" si="1"/>
        <v>1400000</v>
      </c>
      <c r="N14" s="291" t="s">
        <v>326</v>
      </c>
    </row>
    <row r="15" spans="1:14" ht="15.6" x14ac:dyDescent="0.3">
      <c r="A15" s="83">
        <v>150000</v>
      </c>
      <c r="B15" s="3"/>
      <c r="C15" s="3">
        <f t="shared" si="0"/>
        <v>-13375000</v>
      </c>
      <c r="D15" s="57" t="s">
        <v>316</v>
      </c>
      <c r="E15" s="94">
        <v>45439</v>
      </c>
      <c r="F15" s="58"/>
      <c r="I15" s="7">
        <v>6</v>
      </c>
      <c r="J15" s="8">
        <v>45545</v>
      </c>
      <c r="K15" s="41"/>
      <c r="L15" s="235">
        <v>140000</v>
      </c>
      <c r="M15" s="7">
        <f t="shared" si="1"/>
        <v>1260000</v>
      </c>
      <c r="N15" s="291"/>
    </row>
    <row r="16" spans="1:14" ht="15.6" x14ac:dyDescent="0.3">
      <c r="A16" s="133">
        <v>165000</v>
      </c>
      <c r="B16" s="3"/>
      <c r="C16" s="3">
        <f t="shared" si="0"/>
        <v>-13210000</v>
      </c>
      <c r="D16" s="69" t="s">
        <v>317</v>
      </c>
      <c r="E16" s="94">
        <v>45454</v>
      </c>
      <c r="F16" s="58"/>
      <c r="I16" s="7">
        <v>7</v>
      </c>
      <c r="J16" s="8">
        <v>45575</v>
      </c>
      <c r="K16" s="41"/>
      <c r="L16" s="235">
        <v>140000</v>
      </c>
      <c r="M16" s="7">
        <f t="shared" si="1"/>
        <v>1120000</v>
      </c>
      <c r="N16" s="291"/>
    </row>
    <row r="17" spans="1:14" ht="15.6" x14ac:dyDescent="0.3">
      <c r="A17" s="93">
        <v>500000</v>
      </c>
      <c r="B17" s="3"/>
      <c r="C17" s="3">
        <f t="shared" si="0"/>
        <v>-12710000</v>
      </c>
      <c r="D17" s="134" t="s">
        <v>318</v>
      </c>
      <c r="E17" s="97">
        <v>45501</v>
      </c>
      <c r="F17" s="58"/>
      <c r="I17" s="7">
        <v>8</v>
      </c>
      <c r="J17" s="8">
        <v>45606</v>
      </c>
      <c r="K17" s="41"/>
      <c r="L17" s="235">
        <v>140000</v>
      </c>
      <c r="M17" s="7">
        <f t="shared" si="1"/>
        <v>980000</v>
      </c>
      <c r="N17" s="291"/>
    </row>
    <row r="18" spans="1:14" ht="15.6" x14ac:dyDescent="0.3">
      <c r="A18" s="93">
        <v>500000</v>
      </c>
      <c r="B18" s="3"/>
      <c r="C18" s="3">
        <f t="shared" si="0"/>
        <v>-12210000</v>
      </c>
      <c r="D18" s="69" t="s">
        <v>319</v>
      </c>
      <c r="E18" s="70">
        <v>45533</v>
      </c>
      <c r="F18" s="58"/>
      <c r="I18" s="7">
        <v>9</v>
      </c>
      <c r="J18" s="8">
        <v>45636</v>
      </c>
      <c r="K18" s="41"/>
      <c r="L18" s="235">
        <v>140000</v>
      </c>
      <c r="M18" s="7">
        <f t="shared" si="1"/>
        <v>840000</v>
      </c>
      <c r="N18" s="291"/>
    </row>
    <row r="19" spans="1:14" ht="15.6" x14ac:dyDescent="0.3">
      <c r="A19" s="93">
        <v>140000</v>
      </c>
      <c r="B19" s="3"/>
      <c r="C19" s="3">
        <f t="shared" si="0"/>
        <v>-12070000</v>
      </c>
      <c r="D19" s="69" t="s">
        <v>320</v>
      </c>
      <c r="E19" s="70">
        <v>45533</v>
      </c>
      <c r="F19" s="58"/>
      <c r="I19" s="7">
        <v>10</v>
      </c>
      <c r="J19" s="8">
        <v>45667</v>
      </c>
      <c r="K19" s="41"/>
      <c r="L19" s="235"/>
      <c r="M19" s="7">
        <f t="shared" si="1"/>
        <v>840000</v>
      </c>
      <c r="N19" s="291"/>
    </row>
    <row r="20" spans="1:14" ht="15.6" x14ac:dyDescent="0.3">
      <c r="A20" s="93">
        <v>165000</v>
      </c>
      <c r="B20" s="3"/>
      <c r="C20" s="3">
        <f t="shared" si="0"/>
        <v>-11905000</v>
      </c>
      <c r="D20" s="69" t="s">
        <v>317</v>
      </c>
      <c r="E20" s="70">
        <v>45533</v>
      </c>
      <c r="F20" s="58"/>
      <c r="I20" s="7">
        <v>11</v>
      </c>
      <c r="J20" s="8">
        <v>45698</v>
      </c>
      <c r="K20" s="41"/>
      <c r="L20" s="235"/>
      <c r="M20" s="7">
        <f t="shared" si="1"/>
        <v>840000</v>
      </c>
      <c r="N20" s="291"/>
    </row>
    <row r="21" spans="1:14" ht="15.6" x14ac:dyDescent="0.3">
      <c r="A21" s="93">
        <v>475000</v>
      </c>
      <c r="B21" s="3"/>
      <c r="C21" s="3">
        <f t="shared" si="0"/>
        <v>-11430000</v>
      </c>
      <c r="D21" s="69" t="s">
        <v>321</v>
      </c>
      <c r="E21" s="70">
        <v>45564</v>
      </c>
      <c r="F21" s="58"/>
      <c r="I21" s="7">
        <v>12</v>
      </c>
      <c r="J21" s="8">
        <v>45726</v>
      </c>
      <c r="K21" s="41"/>
      <c r="L21" s="235"/>
      <c r="M21" s="7">
        <f t="shared" si="1"/>
        <v>840000</v>
      </c>
      <c r="N21" s="291"/>
    </row>
    <row r="22" spans="1:14" ht="15.6" x14ac:dyDescent="0.3">
      <c r="A22" s="135">
        <v>800000</v>
      </c>
      <c r="B22" s="3"/>
      <c r="C22" s="3">
        <f t="shared" si="0"/>
        <v>-10630000</v>
      </c>
      <c r="D22" s="72" t="s">
        <v>322</v>
      </c>
      <c r="E22" s="73">
        <v>45628</v>
      </c>
      <c r="F22" s="58"/>
      <c r="I22" s="7">
        <v>13</v>
      </c>
      <c r="J22" s="8">
        <v>45757</v>
      </c>
      <c r="K22" s="41"/>
      <c r="L22" s="235"/>
      <c r="M22" s="7">
        <f t="shared" si="1"/>
        <v>840000</v>
      </c>
      <c r="N22" s="291"/>
    </row>
    <row r="23" spans="1:14" ht="15.6" x14ac:dyDescent="0.3">
      <c r="A23" s="163">
        <v>500000</v>
      </c>
      <c r="B23" s="53"/>
      <c r="C23" s="53">
        <f t="shared" si="0"/>
        <v>-10130000</v>
      </c>
      <c r="D23" s="164" t="s">
        <v>28</v>
      </c>
      <c r="E23" s="165" t="s">
        <v>29</v>
      </c>
      <c r="F23" s="58"/>
      <c r="I23" s="7">
        <v>14</v>
      </c>
      <c r="J23" s="8">
        <v>45787</v>
      </c>
      <c r="K23" s="41"/>
      <c r="L23" s="235"/>
      <c r="M23" s="7"/>
      <c r="N23" s="291"/>
    </row>
    <row r="24" spans="1:14" ht="15.6" x14ac:dyDescent="0.3">
      <c r="A24" s="83">
        <v>1000000</v>
      </c>
      <c r="B24" s="3"/>
      <c r="C24" s="3">
        <f t="shared" si="0"/>
        <v>-9130000</v>
      </c>
      <c r="D24" s="136" t="s">
        <v>323</v>
      </c>
      <c r="E24" s="52">
        <v>45714</v>
      </c>
      <c r="F24" s="58"/>
      <c r="I24" s="7">
        <v>15</v>
      </c>
      <c r="J24" s="8">
        <v>45818</v>
      </c>
      <c r="K24" s="41"/>
      <c r="L24" s="235"/>
      <c r="M24" s="7">
        <f>M22-L24</f>
        <v>840000</v>
      </c>
      <c r="N24" s="291"/>
    </row>
    <row r="25" spans="1:14" ht="15.6" x14ac:dyDescent="0.3">
      <c r="A25" s="59">
        <f>710000+430000-500000</f>
        <v>640000</v>
      </c>
      <c r="B25" s="59"/>
      <c r="C25" s="59">
        <f t="shared" si="0"/>
        <v>-8490000</v>
      </c>
      <c r="D25" s="137" t="s">
        <v>31</v>
      </c>
      <c r="E25" s="62"/>
      <c r="F25" s="58"/>
      <c r="I25" s="7"/>
      <c r="J25" s="8"/>
      <c r="K25" s="41"/>
      <c r="L25" s="235"/>
      <c r="M25" s="7">
        <f t="shared" si="1"/>
        <v>840000</v>
      </c>
      <c r="N25" s="291"/>
    </row>
    <row r="26" spans="1:14" ht="15.6" x14ac:dyDescent="0.3">
      <c r="A26" s="36">
        <v>400000</v>
      </c>
      <c r="B26" s="3"/>
      <c r="C26" s="3">
        <f t="shared" si="0"/>
        <v>-8090000</v>
      </c>
      <c r="D26" s="78" t="s">
        <v>28</v>
      </c>
      <c r="E26" s="155">
        <v>45741.733460648102</v>
      </c>
      <c r="F26" s="58"/>
    </row>
    <row r="27" spans="1:14" ht="15.6" x14ac:dyDescent="0.3">
      <c r="A27" s="36">
        <v>550000</v>
      </c>
      <c r="B27" s="3"/>
      <c r="C27" s="3">
        <f t="shared" si="0"/>
        <v>-7540000</v>
      </c>
      <c r="D27" s="78" t="s">
        <v>28</v>
      </c>
      <c r="E27" s="155">
        <v>45810.431875000002</v>
      </c>
      <c r="F27" s="58"/>
    </row>
    <row r="28" spans="1:14" ht="15.6" x14ac:dyDescent="0.3">
      <c r="A28" s="36">
        <v>1000000</v>
      </c>
      <c r="B28" s="3"/>
      <c r="C28" s="3">
        <f t="shared" si="0"/>
        <v>-6540000</v>
      </c>
      <c r="D28" s="78" t="s">
        <v>28</v>
      </c>
      <c r="E28" s="155">
        <v>45878.03</v>
      </c>
      <c r="F28" s="58"/>
      <c r="I28" s="5"/>
      <c r="J28" s="5" t="s">
        <v>37</v>
      </c>
      <c r="K28" s="5" t="s">
        <v>327</v>
      </c>
      <c r="L28" s="272" t="s">
        <v>325</v>
      </c>
      <c r="M28" s="272"/>
      <c r="N28" s="272"/>
    </row>
    <row r="29" spans="1:14" ht="15.6" x14ac:dyDescent="0.3">
      <c r="A29" s="36">
        <v>817500</v>
      </c>
      <c r="B29" s="3"/>
      <c r="C29" s="3">
        <f>IF(A29&gt;0,C28+A29-B29,C28-B29)</f>
        <v>-5722500</v>
      </c>
      <c r="D29" s="78" t="s">
        <v>28</v>
      </c>
      <c r="E29" s="155">
        <v>45909.701252858802</v>
      </c>
      <c r="F29" s="58"/>
      <c r="I29" s="7" t="s">
        <v>40</v>
      </c>
      <c r="J29" s="7" t="s">
        <v>6</v>
      </c>
      <c r="K29" s="41" t="s">
        <v>41</v>
      </c>
      <c r="L29" s="235" t="s">
        <v>42</v>
      </c>
      <c r="M29" s="7" t="s">
        <v>43</v>
      </c>
      <c r="N29" s="7" t="s">
        <v>7</v>
      </c>
    </row>
    <row r="30" spans="1:14" ht="15.6" x14ac:dyDescent="0.3">
      <c r="A30" s="36">
        <v>817500</v>
      </c>
      <c r="B30" s="3"/>
      <c r="C30" s="3">
        <f t="shared" si="0"/>
        <v>-4905000</v>
      </c>
      <c r="D30" s="78" t="s">
        <v>28</v>
      </c>
      <c r="E30" s="155">
        <v>45935.5513419329</v>
      </c>
      <c r="F30" s="58"/>
      <c r="I30" s="7"/>
      <c r="J30" s="7"/>
      <c r="K30" s="49">
        <v>4960000</v>
      </c>
      <c r="L30" s="235"/>
      <c r="M30" s="7">
        <f>K30-L30</f>
        <v>4960000</v>
      </c>
      <c r="N30" s="7" t="s">
        <v>44</v>
      </c>
    </row>
    <row r="31" spans="1:14" ht="15.6" x14ac:dyDescent="0.3">
      <c r="A31" s="36">
        <v>817500</v>
      </c>
      <c r="B31" s="3"/>
      <c r="C31" s="3">
        <f t="shared" si="0"/>
        <v>-4087500</v>
      </c>
      <c r="D31" s="57" t="s">
        <v>134</v>
      </c>
      <c r="E31" s="155">
        <v>46008.155022222199</v>
      </c>
      <c r="F31" s="58"/>
      <c r="I31" s="7"/>
      <c r="J31" s="8"/>
      <c r="K31" s="41"/>
      <c r="L31" s="235"/>
      <c r="M31" s="7">
        <f>M30-L31</f>
        <v>4960000</v>
      </c>
      <c r="N31" s="7"/>
    </row>
    <row r="32" spans="1:14" ht="15.6" x14ac:dyDescent="0.3">
      <c r="A32" s="36">
        <v>817500</v>
      </c>
      <c r="B32" s="3"/>
      <c r="C32" s="3">
        <f t="shared" si="0"/>
        <v>-3270000</v>
      </c>
      <c r="D32" s="57" t="s">
        <v>304</v>
      </c>
      <c r="E32" s="155">
        <v>46020.3308519329</v>
      </c>
      <c r="F32" s="58"/>
      <c r="I32" s="7"/>
      <c r="J32" s="8">
        <v>45392</v>
      </c>
      <c r="K32" s="41"/>
      <c r="L32" s="236">
        <v>1000000</v>
      </c>
      <c r="M32" s="7">
        <f>M31-L32</f>
        <v>3960000</v>
      </c>
      <c r="N32" s="7" t="s">
        <v>328</v>
      </c>
    </row>
    <row r="33" spans="1:14" ht="15.6" x14ac:dyDescent="0.3">
      <c r="A33" s="36">
        <v>817500</v>
      </c>
      <c r="B33" s="3"/>
      <c r="C33" s="3">
        <f t="shared" si="0"/>
        <v>-2452500</v>
      </c>
      <c r="D33" s="57" t="s">
        <v>304</v>
      </c>
      <c r="E33" s="8" t="s">
        <v>299</v>
      </c>
      <c r="F33" s="58"/>
      <c r="I33" s="7">
        <v>1</v>
      </c>
      <c r="J33" s="8">
        <v>45427</v>
      </c>
      <c r="K33" s="41"/>
      <c r="L33" s="235">
        <v>165000</v>
      </c>
      <c r="M33" s="7">
        <f t="shared" ref="M33:M56" si="2">M32-L33</f>
        <v>3795000</v>
      </c>
      <c r="N33" s="7" t="s">
        <v>45</v>
      </c>
    </row>
    <row r="34" spans="1:14" ht="15.6" x14ac:dyDescent="0.3">
      <c r="A34" s="56">
        <v>1635000</v>
      </c>
      <c r="B34" s="3"/>
      <c r="C34" s="3">
        <f t="shared" si="0"/>
        <v>-817500</v>
      </c>
      <c r="D34" s="57" t="s">
        <v>304</v>
      </c>
      <c r="E34" s="8" t="s">
        <v>486</v>
      </c>
      <c r="F34" s="58"/>
      <c r="I34" s="7">
        <v>2</v>
      </c>
      <c r="J34" s="8">
        <v>45458</v>
      </c>
      <c r="K34" s="41"/>
      <c r="L34" s="235">
        <v>165000</v>
      </c>
      <c r="M34" s="7">
        <f t="shared" si="2"/>
        <v>3630000</v>
      </c>
      <c r="N34" s="7" t="s">
        <v>45</v>
      </c>
    </row>
    <row r="35" spans="1:14" ht="15.6" x14ac:dyDescent="0.3">
      <c r="A35" s="3">
        <v>817500</v>
      </c>
      <c r="B35" s="3"/>
      <c r="C35" s="3">
        <f t="shared" si="0"/>
        <v>0</v>
      </c>
      <c r="D35" s="7"/>
      <c r="E35" s="8">
        <v>46273</v>
      </c>
      <c r="F35" s="58"/>
      <c r="I35" s="7">
        <v>3</v>
      </c>
      <c r="J35" s="8">
        <v>45488</v>
      </c>
      <c r="K35" s="41"/>
      <c r="L35" s="235">
        <v>165000</v>
      </c>
      <c r="M35" s="7">
        <f t="shared" si="2"/>
        <v>3465000</v>
      </c>
      <c r="N35" s="52">
        <v>45533</v>
      </c>
    </row>
    <row r="36" spans="1:14" ht="15.6" x14ac:dyDescent="0.3">
      <c r="A36" s="3"/>
      <c r="B36" s="3"/>
      <c r="C36" s="3">
        <f t="shared" si="0"/>
        <v>0</v>
      </c>
      <c r="D36" s="7"/>
      <c r="E36" s="8"/>
      <c r="F36" s="58"/>
      <c r="I36" s="7">
        <v>4</v>
      </c>
      <c r="J36" s="8">
        <v>45519</v>
      </c>
      <c r="K36" s="41"/>
      <c r="L36" s="235">
        <v>165000</v>
      </c>
      <c r="M36" s="7">
        <f t="shared" si="2"/>
        <v>3300000</v>
      </c>
      <c r="N36" s="52">
        <v>45564</v>
      </c>
    </row>
    <row r="37" spans="1:14" ht="15.6" x14ac:dyDescent="0.3">
      <c r="A37" s="3"/>
      <c r="B37" s="3"/>
      <c r="C37" s="3">
        <f t="shared" si="0"/>
        <v>0</v>
      </c>
      <c r="D37" s="7"/>
      <c r="E37" s="8"/>
      <c r="F37" s="58"/>
      <c r="I37" s="7">
        <v>5</v>
      </c>
      <c r="J37" s="8">
        <v>45550</v>
      </c>
      <c r="K37" s="41"/>
      <c r="L37" s="237">
        <v>165000</v>
      </c>
      <c r="M37" s="7">
        <f t="shared" si="2"/>
        <v>3135000</v>
      </c>
      <c r="N37" s="7" t="s">
        <v>136</v>
      </c>
    </row>
    <row r="38" spans="1:14" ht="15.6" x14ac:dyDescent="0.3">
      <c r="A38" s="3"/>
      <c r="B38" s="3"/>
      <c r="C38" s="3">
        <f t="shared" si="0"/>
        <v>0</v>
      </c>
      <c r="D38" s="7"/>
      <c r="E38" s="8"/>
      <c r="F38" s="58"/>
      <c r="I38" s="7">
        <v>6</v>
      </c>
      <c r="J38" s="8">
        <v>45580</v>
      </c>
      <c r="K38" s="41"/>
      <c r="L38" s="237">
        <v>165000</v>
      </c>
      <c r="M38" s="7">
        <f t="shared" si="2"/>
        <v>2970000</v>
      </c>
      <c r="N38" s="7" t="s">
        <v>136</v>
      </c>
    </row>
    <row r="39" spans="1:14" ht="15.6" x14ac:dyDescent="0.3">
      <c r="A39" s="3"/>
      <c r="B39" s="3"/>
      <c r="C39" s="3">
        <f t="shared" si="0"/>
        <v>0</v>
      </c>
      <c r="D39" s="7"/>
      <c r="E39" s="8"/>
      <c r="F39" s="58"/>
      <c r="I39" s="7">
        <v>7</v>
      </c>
      <c r="J39" s="8">
        <v>45611</v>
      </c>
      <c r="K39" s="41"/>
      <c r="L39" s="237">
        <v>165000</v>
      </c>
      <c r="M39" s="7">
        <f t="shared" si="2"/>
        <v>2805000</v>
      </c>
      <c r="N39" s="7" t="s">
        <v>136</v>
      </c>
    </row>
    <row r="40" spans="1:14" ht="15.6" x14ac:dyDescent="0.3">
      <c r="A40" s="3"/>
      <c r="B40" s="3"/>
      <c r="C40" s="3">
        <f t="shared" si="0"/>
        <v>0</v>
      </c>
      <c r="D40" s="7"/>
      <c r="E40" s="8"/>
      <c r="F40" s="58"/>
      <c r="I40" s="7">
        <v>8</v>
      </c>
      <c r="J40" s="8">
        <v>45641</v>
      </c>
      <c r="K40" s="41"/>
      <c r="L40" s="237">
        <v>165000</v>
      </c>
      <c r="M40" s="7">
        <f t="shared" si="2"/>
        <v>2640000</v>
      </c>
      <c r="N40" s="7" t="s">
        <v>136</v>
      </c>
    </row>
    <row r="41" spans="1:14" ht="15.6" x14ac:dyDescent="0.3">
      <c r="A41" s="3"/>
      <c r="B41" s="3"/>
      <c r="C41" s="3">
        <f t="shared" si="0"/>
        <v>0</v>
      </c>
      <c r="D41" s="7"/>
      <c r="E41" s="8"/>
      <c r="F41" s="58"/>
      <c r="I41" s="7">
        <v>9</v>
      </c>
      <c r="J41" s="8">
        <v>45672</v>
      </c>
      <c r="K41" s="41"/>
      <c r="L41" s="235">
        <v>165000</v>
      </c>
      <c r="M41" s="7">
        <f t="shared" si="2"/>
        <v>2475000</v>
      </c>
      <c r="N41" s="7" t="s">
        <v>136</v>
      </c>
    </row>
    <row r="42" spans="1:14" ht="15.6" x14ac:dyDescent="0.3">
      <c r="A42" s="3"/>
      <c r="B42" s="3"/>
      <c r="C42" s="3">
        <f t="shared" si="0"/>
        <v>0</v>
      </c>
      <c r="D42" s="7"/>
      <c r="E42" s="8"/>
      <c r="F42" s="58"/>
      <c r="I42" s="7">
        <v>10</v>
      </c>
      <c r="J42" s="8">
        <v>45703</v>
      </c>
      <c r="K42" s="41"/>
      <c r="L42" s="235"/>
      <c r="M42" s="7">
        <f t="shared" si="2"/>
        <v>2475000</v>
      </c>
      <c r="N42" s="7"/>
    </row>
    <row r="43" spans="1:14" ht="15.6" x14ac:dyDescent="0.3">
      <c r="A43" s="3"/>
      <c r="B43" s="3"/>
      <c r="C43" s="3">
        <f t="shared" si="0"/>
        <v>0</v>
      </c>
      <c r="D43" s="7"/>
      <c r="E43" s="8"/>
      <c r="F43" s="58"/>
      <c r="I43" s="7">
        <v>11</v>
      </c>
      <c r="J43" s="8">
        <v>45731</v>
      </c>
      <c r="K43" s="41"/>
      <c r="L43" s="235"/>
      <c r="M43" s="7">
        <f t="shared" si="2"/>
        <v>2475000</v>
      </c>
      <c r="N43" s="7"/>
    </row>
    <row r="44" spans="1:14" ht="15.6" x14ac:dyDescent="0.3">
      <c r="A44" s="3"/>
      <c r="B44" s="3"/>
      <c r="C44" s="3">
        <f t="shared" si="0"/>
        <v>0</v>
      </c>
      <c r="D44" s="7"/>
      <c r="E44" s="8"/>
      <c r="F44" s="58"/>
      <c r="I44" s="7">
        <v>12</v>
      </c>
      <c r="J44" s="8">
        <v>45762</v>
      </c>
      <c r="K44" s="41"/>
      <c r="L44" s="235"/>
      <c r="M44" s="7">
        <f t="shared" si="2"/>
        <v>2475000</v>
      </c>
      <c r="N44" s="7"/>
    </row>
    <row r="45" spans="1:14" ht="15.6" x14ac:dyDescent="0.3">
      <c r="A45" s="3"/>
      <c r="B45" s="3"/>
      <c r="C45" s="3">
        <f t="shared" si="0"/>
        <v>0</v>
      </c>
      <c r="D45" s="7"/>
      <c r="E45" s="8"/>
      <c r="F45" s="58"/>
      <c r="I45" s="7">
        <v>13</v>
      </c>
      <c r="J45" s="8">
        <v>45792</v>
      </c>
      <c r="K45" s="41"/>
      <c r="L45" s="235"/>
      <c r="M45" s="7">
        <f t="shared" si="2"/>
        <v>2475000</v>
      </c>
      <c r="N45" s="7"/>
    </row>
    <row r="46" spans="1:14" ht="15.6" x14ac:dyDescent="0.3">
      <c r="A46" s="3"/>
      <c r="B46" s="3"/>
      <c r="C46" s="3">
        <f t="shared" si="0"/>
        <v>0</v>
      </c>
      <c r="D46" s="7"/>
      <c r="E46" s="8"/>
      <c r="F46" s="58"/>
      <c r="I46" s="7">
        <v>14</v>
      </c>
      <c r="J46" s="8">
        <v>45823</v>
      </c>
      <c r="K46" s="41"/>
      <c r="L46" s="235"/>
      <c r="M46" s="7">
        <f t="shared" si="2"/>
        <v>2475000</v>
      </c>
      <c r="N46" s="7"/>
    </row>
    <row r="47" spans="1:14" ht="15.6" x14ac:dyDescent="0.3">
      <c r="A47" s="3"/>
      <c r="B47" s="3"/>
      <c r="C47" s="3">
        <f t="shared" si="0"/>
        <v>0</v>
      </c>
      <c r="D47" s="7"/>
      <c r="E47" s="8"/>
      <c r="F47" s="58"/>
      <c r="I47" s="7">
        <v>15</v>
      </c>
      <c r="J47" s="8">
        <v>45853</v>
      </c>
      <c r="K47" s="41"/>
      <c r="L47" s="235"/>
      <c r="M47" s="7">
        <f t="shared" si="2"/>
        <v>2475000</v>
      </c>
      <c r="N47" s="7"/>
    </row>
    <row r="48" spans="1:14" ht="15.6" x14ac:dyDescent="0.3">
      <c r="A48" s="3"/>
      <c r="B48" s="3"/>
      <c r="C48" s="3">
        <f t="shared" si="0"/>
        <v>0</v>
      </c>
      <c r="D48" s="7"/>
      <c r="E48" s="8"/>
      <c r="F48" s="58"/>
      <c r="I48" s="7">
        <v>16</v>
      </c>
      <c r="J48" s="8">
        <v>45884</v>
      </c>
      <c r="K48" s="41"/>
      <c r="L48" s="235"/>
      <c r="M48" s="7">
        <f t="shared" si="2"/>
        <v>2475000</v>
      </c>
      <c r="N48" s="7"/>
    </row>
    <row r="49" spans="1:14" ht="15.6" x14ac:dyDescent="0.3">
      <c r="A49" s="3"/>
      <c r="B49" s="3"/>
      <c r="C49" s="3">
        <f t="shared" si="0"/>
        <v>0</v>
      </c>
      <c r="D49" s="7"/>
      <c r="E49" s="8"/>
      <c r="F49" s="58"/>
      <c r="I49" s="7">
        <v>17</v>
      </c>
      <c r="J49" s="8">
        <v>45915</v>
      </c>
      <c r="K49" s="41"/>
      <c r="L49" s="235"/>
      <c r="M49" s="7">
        <f t="shared" si="2"/>
        <v>2475000</v>
      </c>
      <c r="N49" s="7"/>
    </row>
    <row r="50" spans="1:14" ht="15.6" x14ac:dyDescent="0.3">
      <c r="A50" s="3"/>
      <c r="B50" s="3"/>
      <c r="C50" s="3">
        <f t="shared" si="0"/>
        <v>0</v>
      </c>
      <c r="D50" s="7"/>
      <c r="E50" s="8"/>
      <c r="F50" s="58"/>
      <c r="I50" s="7">
        <v>18</v>
      </c>
      <c r="J50" s="8">
        <v>45945</v>
      </c>
      <c r="K50" s="41"/>
      <c r="L50" s="235"/>
      <c r="M50" s="7">
        <f t="shared" si="2"/>
        <v>2475000</v>
      </c>
      <c r="N50" s="7"/>
    </row>
    <row r="51" spans="1:14" ht="15.6" x14ac:dyDescent="0.3">
      <c r="A51" s="3"/>
      <c r="B51" s="3"/>
      <c r="C51" s="3">
        <f t="shared" si="0"/>
        <v>0</v>
      </c>
      <c r="D51" s="7"/>
      <c r="E51" s="8"/>
      <c r="F51" s="58"/>
      <c r="I51" s="7">
        <v>19</v>
      </c>
      <c r="J51" s="8">
        <v>45976</v>
      </c>
      <c r="K51" s="41"/>
      <c r="L51" s="235"/>
      <c r="M51" s="7">
        <f t="shared" si="2"/>
        <v>2475000</v>
      </c>
      <c r="N51" s="7"/>
    </row>
    <row r="52" spans="1:14" ht="15.6" x14ac:dyDescent="0.3">
      <c r="A52" s="3"/>
      <c r="B52" s="3"/>
      <c r="C52" s="3">
        <f t="shared" si="0"/>
        <v>0</v>
      </c>
      <c r="D52" s="7"/>
      <c r="E52" s="8"/>
      <c r="F52" s="58"/>
      <c r="I52" s="7">
        <v>20</v>
      </c>
      <c r="J52" s="8">
        <v>46006</v>
      </c>
      <c r="K52" s="41"/>
      <c r="L52" s="235">
        <v>165000</v>
      </c>
      <c r="M52" s="7">
        <f t="shared" si="2"/>
        <v>2310000</v>
      </c>
      <c r="N52" s="7" t="s">
        <v>136</v>
      </c>
    </row>
    <row r="53" spans="1:14" ht="15.6" x14ac:dyDescent="0.3">
      <c r="A53" s="3"/>
      <c r="B53" s="3"/>
      <c r="C53" s="3">
        <f t="shared" si="0"/>
        <v>0</v>
      </c>
      <c r="D53" s="7"/>
      <c r="E53" s="8"/>
      <c r="F53" s="58"/>
      <c r="I53" s="7">
        <v>21</v>
      </c>
      <c r="J53" s="8">
        <v>46037</v>
      </c>
      <c r="K53" s="41"/>
      <c r="L53" s="235">
        <v>165000</v>
      </c>
      <c r="M53" s="7">
        <f t="shared" si="2"/>
        <v>2145000</v>
      </c>
      <c r="N53" s="7" t="s">
        <v>136</v>
      </c>
    </row>
    <row r="54" spans="1:14" ht="15.6" x14ac:dyDescent="0.3">
      <c r="A54" s="3"/>
      <c r="B54" s="3"/>
      <c r="C54" s="3">
        <f t="shared" si="0"/>
        <v>0</v>
      </c>
      <c r="D54" s="7"/>
      <c r="E54" s="8"/>
      <c r="F54" s="58"/>
      <c r="I54" s="7">
        <v>22</v>
      </c>
      <c r="J54" s="8">
        <v>46068</v>
      </c>
      <c r="K54" s="41"/>
      <c r="L54" s="235"/>
      <c r="M54" s="7">
        <f t="shared" si="2"/>
        <v>2145000</v>
      </c>
      <c r="N54" s="7"/>
    </row>
    <row r="55" spans="1:14" ht="15.6" x14ac:dyDescent="0.3">
      <c r="A55" s="3"/>
      <c r="B55" s="3"/>
      <c r="C55" s="3">
        <f t="shared" si="0"/>
        <v>0</v>
      </c>
      <c r="D55" s="7"/>
      <c r="E55" s="8"/>
      <c r="F55" s="58"/>
      <c r="I55" s="7">
        <v>23</v>
      </c>
      <c r="J55" s="8">
        <v>46096</v>
      </c>
      <c r="K55" s="41"/>
      <c r="L55" s="235"/>
      <c r="M55" s="7">
        <f t="shared" si="2"/>
        <v>2145000</v>
      </c>
      <c r="N55" s="7"/>
    </row>
    <row r="56" spans="1:14" ht="15.6" x14ac:dyDescent="0.3">
      <c r="A56" s="3"/>
      <c r="B56" s="3"/>
      <c r="C56" s="3">
        <f t="shared" si="0"/>
        <v>0</v>
      </c>
      <c r="D56" s="7"/>
      <c r="E56" s="8"/>
      <c r="F56" s="58"/>
      <c r="I56" s="7">
        <v>24</v>
      </c>
      <c r="J56" s="8">
        <v>46127</v>
      </c>
      <c r="K56" s="41"/>
      <c r="L56" s="235"/>
      <c r="M56" s="7">
        <f t="shared" si="2"/>
        <v>2145000</v>
      </c>
      <c r="N56" s="7"/>
    </row>
    <row r="57" spans="1:14" ht="15.6" x14ac:dyDescent="0.3">
      <c r="A57" s="3"/>
      <c r="B57" s="3"/>
      <c r="C57" s="3">
        <f t="shared" si="0"/>
        <v>0</v>
      </c>
      <c r="D57" s="7"/>
      <c r="E57" s="8"/>
      <c r="F57" s="58"/>
    </row>
    <row r="58" spans="1:14" ht="15.6" x14ac:dyDescent="0.3">
      <c r="A58" s="3"/>
      <c r="B58" s="3"/>
      <c r="C58" s="3">
        <f t="shared" si="0"/>
        <v>0</v>
      </c>
      <c r="D58" s="7"/>
      <c r="E58" s="8"/>
      <c r="F58" s="58"/>
    </row>
    <row r="59" spans="1:14" ht="15.6" x14ac:dyDescent="0.3">
      <c r="A59" s="3"/>
      <c r="B59" s="3"/>
      <c r="C59" s="3">
        <f t="shared" si="0"/>
        <v>0</v>
      </c>
      <c r="D59" s="7"/>
      <c r="E59" s="8"/>
      <c r="F59" s="58"/>
    </row>
    <row r="60" spans="1:14" ht="15.6" x14ac:dyDescent="0.3">
      <c r="A60" s="3"/>
      <c r="B60" s="3"/>
      <c r="C60" s="3">
        <f t="shared" si="0"/>
        <v>0</v>
      </c>
      <c r="D60" s="7"/>
      <c r="E60" s="8"/>
      <c r="F60" s="58"/>
      <c r="I60" s="1"/>
      <c r="J60" s="1"/>
      <c r="K60" s="277"/>
      <c r="L60" s="277"/>
      <c r="M60" s="45"/>
      <c r="N60" s="1"/>
    </row>
    <row r="61" spans="1:14" ht="15.6" x14ac:dyDescent="0.3">
      <c r="A61" s="3"/>
      <c r="B61" s="3"/>
      <c r="C61" s="3">
        <f t="shared" si="0"/>
        <v>0</v>
      </c>
      <c r="D61" s="7"/>
      <c r="E61" s="8"/>
      <c r="F61" s="58"/>
      <c r="I61" s="5"/>
      <c r="J61" s="5" t="s">
        <v>37</v>
      </c>
      <c r="K61" s="5" t="s">
        <v>329</v>
      </c>
      <c r="L61" s="272"/>
      <c r="M61" s="272"/>
      <c r="N61" s="5" t="s">
        <v>325</v>
      </c>
    </row>
    <row r="62" spans="1:14" ht="15.6" x14ac:dyDescent="0.3">
      <c r="A62" s="3"/>
      <c r="B62" s="3"/>
      <c r="C62" s="3">
        <f t="shared" si="0"/>
        <v>0</v>
      </c>
      <c r="D62" s="7"/>
      <c r="E62" s="8"/>
      <c r="F62" s="58"/>
      <c r="I62" s="7" t="s">
        <v>40</v>
      </c>
      <c r="J62" s="7" t="s">
        <v>6</v>
      </c>
      <c r="K62" s="41" t="s">
        <v>41</v>
      </c>
      <c r="L62" s="235" t="s">
        <v>42</v>
      </c>
      <c r="M62" s="7" t="s">
        <v>43</v>
      </c>
      <c r="N62" s="7" t="s">
        <v>7</v>
      </c>
    </row>
    <row r="63" spans="1:14" ht="15.6" x14ac:dyDescent="0.3">
      <c r="A63" s="3"/>
      <c r="B63" s="3"/>
      <c r="C63" s="3">
        <f t="shared" si="0"/>
        <v>0</v>
      </c>
      <c r="D63" s="7"/>
      <c r="E63" s="8"/>
      <c r="F63" s="58"/>
      <c r="I63" s="7"/>
      <c r="J63" s="7"/>
      <c r="K63" s="49">
        <v>3690000</v>
      </c>
      <c r="L63" s="235"/>
      <c r="M63" s="7">
        <f>K63-L63</f>
        <v>3690000</v>
      </c>
      <c r="N63" s="7" t="s">
        <v>44</v>
      </c>
    </row>
    <row r="64" spans="1:14" ht="15.6" x14ac:dyDescent="0.3">
      <c r="A64" s="3"/>
      <c r="B64" s="3"/>
      <c r="C64" s="3">
        <f t="shared" si="0"/>
        <v>0</v>
      </c>
      <c r="D64" s="7"/>
      <c r="E64" s="8"/>
      <c r="F64" s="58"/>
      <c r="I64" s="7"/>
      <c r="J64" s="8"/>
      <c r="K64" s="41"/>
      <c r="L64" s="235"/>
      <c r="M64" s="7">
        <f>M63-L64</f>
        <v>3690000</v>
      </c>
      <c r="N64" s="7" t="s">
        <v>330</v>
      </c>
    </row>
    <row r="65" spans="1:14" ht="15.6" x14ac:dyDescent="0.3">
      <c r="A65" s="3"/>
      <c r="B65" s="3"/>
      <c r="C65" s="3">
        <f t="shared" si="0"/>
        <v>0</v>
      </c>
      <c r="D65" s="7"/>
      <c r="E65" s="8"/>
      <c r="F65" s="58"/>
      <c r="I65" s="7"/>
      <c r="J65" s="8">
        <v>45533</v>
      </c>
      <c r="K65" s="41"/>
      <c r="L65" s="236">
        <v>500000</v>
      </c>
      <c r="M65" s="7">
        <f>M64-L65</f>
        <v>3190000</v>
      </c>
      <c r="N65" s="7" t="s">
        <v>55</v>
      </c>
    </row>
    <row r="66" spans="1:14" ht="15.6" x14ac:dyDescent="0.3">
      <c r="A66" s="3"/>
      <c r="B66" s="3"/>
      <c r="C66" s="3">
        <f t="shared" si="0"/>
        <v>0</v>
      </c>
      <c r="D66" s="7"/>
      <c r="E66" s="8"/>
      <c r="F66" s="58"/>
      <c r="I66" s="7">
        <v>1</v>
      </c>
      <c r="J66" s="8">
        <v>45564</v>
      </c>
      <c r="K66" s="41"/>
      <c r="L66" s="235">
        <v>160000</v>
      </c>
      <c r="M66" s="7">
        <f t="shared" ref="M66:M85" si="3">M65-L66</f>
        <v>3030000</v>
      </c>
      <c r="N66" s="52">
        <v>45564</v>
      </c>
    </row>
    <row r="67" spans="1:14" ht="15.6" x14ac:dyDescent="0.3">
      <c r="A67" s="3"/>
      <c r="B67" s="3"/>
      <c r="C67" s="3">
        <f t="shared" si="0"/>
        <v>0</v>
      </c>
      <c r="D67" s="7"/>
      <c r="E67" s="8"/>
      <c r="F67" s="58"/>
      <c r="I67" s="7">
        <v>2</v>
      </c>
      <c r="J67" s="8" t="s">
        <v>331</v>
      </c>
      <c r="K67" s="41"/>
      <c r="L67" s="237">
        <v>160000</v>
      </c>
      <c r="M67" s="7">
        <f t="shared" si="3"/>
        <v>2870000</v>
      </c>
      <c r="N67" s="7" t="s">
        <v>136</v>
      </c>
    </row>
    <row r="68" spans="1:14" ht="15.6" x14ac:dyDescent="0.3">
      <c r="A68" s="3"/>
      <c r="B68" s="3"/>
      <c r="C68" s="3">
        <f t="shared" si="0"/>
        <v>0</v>
      </c>
      <c r="D68" s="7"/>
      <c r="E68" s="8"/>
      <c r="F68" s="58"/>
      <c r="I68" s="7">
        <v>3</v>
      </c>
      <c r="J68" s="8" t="s">
        <v>143</v>
      </c>
      <c r="K68" s="41"/>
      <c r="L68" s="237">
        <v>160000</v>
      </c>
      <c r="M68" s="7">
        <f t="shared" si="3"/>
        <v>2710000</v>
      </c>
      <c r="N68" s="7" t="s">
        <v>136</v>
      </c>
    </row>
    <row r="69" spans="1:14" ht="15.6" x14ac:dyDescent="0.3">
      <c r="A69" s="3"/>
      <c r="B69" s="3"/>
      <c r="C69" s="3">
        <f t="shared" si="0"/>
        <v>0</v>
      </c>
      <c r="D69" s="7"/>
      <c r="E69" s="8"/>
      <c r="F69" s="58"/>
      <c r="I69" s="7">
        <v>4</v>
      </c>
      <c r="J69" s="8" t="s">
        <v>332</v>
      </c>
      <c r="K69" s="41"/>
      <c r="L69" s="237">
        <v>160000</v>
      </c>
      <c r="M69" s="7">
        <f t="shared" si="3"/>
        <v>2550000</v>
      </c>
      <c r="N69" s="7" t="s">
        <v>136</v>
      </c>
    </row>
    <row r="70" spans="1:14" ht="15.6" x14ac:dyDescent="0.3">
      <c r="A70" s="3"/>
      <c r="B70" s="3"/>
      <c r="C70" s="3">
        <f t="shared" si="0"/>
        <v>0</v>
      </c>
      <c r="D70" s="7"/>
      <c r="E70" s="8"/>
      <c r="F70" s="58"/>
      <c r="I70" s="7">
        <v>5</v>
      </c>
      <c r="J70" s="8" t="s">
        <v>96</v>
      </c>
      <c r="K70" s="41"/>
      <c r="L70" s="235">
        <v>160000</v>
      </c>
      <c r="M70" s="7">
        <f t="shared" si="3"/>
        <v>2390000</v>
      </c>
      <c r="N70" s="7" t="s">
        <v>136</v>
      </c>
    </row>
    <row r="71" spans="1:14" ht="15.6" x14ac:dyDescent="0.3">
      <c r="A71" s="3"/>
      <c r="B71" s="3"/>
      <c r="C71" s="3">
        <f t="shared" si="0"/>
        <v>0</v>
      </c>
      <c r="D71" s="7"/>
      <c r="E71" s="8"/>
      <c r="F71" s="58"/>
      <c r="I71" s="7">
        <v>6</v>
      </c>
      <c r="J71" s="8" t="s">
        <v>333</v>
      </c>
      <c r="K71" s="41"/>
      <c r="L71" s="235">
        <v>160000</v>
      </c>
      <c r="M71" s="7">
        <f t="shared" si="3"/>
        <v>2230000</v>
      </c>
      <c r="N71" s="7" t="s">
        <v>136</v>
      </c>
    </row>
    <row r="72" spans="1:14" ht="15.6" x14ac:dyDescent="0.3">
      <c r="A72" s="3"/>
      <c r="B72" s="3"/>
      <c r="C72" s="3">
        <f t="shared" ref="C72:C135" si="4">IF(A72&gt;0,C71+A72-B72,C71-B72)</f>
        <v>0</v>
      </c>
      <c r="D72" s="7"/>
      <c r="E72" s="8"/>
      <c r="F72" s="58"/>
      <c r="I72" s="7">
        <v>7</v>
      </c>
      <c r="J72" s="8" t="s">
        <v>334</v>
      </c>
      <c r="K72" s="41"/>
      <c r="L72" s="235">
        <v>160000</v>
      </c>
      <c r="M72" s="7">
        <f t="shared" si="3"/>
        <v>2070000</v>
      </c>
      <c r="N72" s="7" t="s">
        <v>136</v>
      </c>
    </row>
    <row r="73" spans="1:14" ht="15.6" x14ac:dyDescent="0.3">
      <c r="A73" s="3"/>
      <c r="B73" s="3"/>
      <c r="C73" s="3">
        <f t="shared" si="4"/>
        <v>0</v>
      </c>
      <c r="D73" s="7"/>
      <c r="E73" s="8"/>
      <c r="F73" s="58"/>
      <c r="I73" s="7">
        <v>8</v>
      </c>
      <c r="J73" s="8" t="s">
        <v>287</v>
      </c>
      <c r="K73" s="41"/>
      <c r="L73" s="235"/>
      <c r="M73" s="7">
        <f t="shared" si="3"/>
        <v>2070000</v>
      </c>
      <c r="N73" s="7"/>
    </row>
    <row r="74" spans="1:14" ht="15.6" x14ac:dyDescent="0.3">
      <c r="A74" s="3"/>
      <c r="B74" s="3"/>
      <c r="C74" s="3">
        <f t="shared" si="4"/>
        <v>0</v>
      </c>
      <c r="D74" s="52"/>
      <c r="E74" s="8"/>
      <c r="F74" s="58"/>
      <c r="I74" s="7">
        <v>9</v>
      </c>
      <c r="J74" s="8" t="s">
        <v>335</v>
      </c>
      <c r="K74" s="41"/>
      <c r="L74" s="235"/>
      <c r="M74" s="7">
        <f t="shared" si="3"/>
        <v>2070000</v>
      </c>
      <c r="N74" s="7"/>
    </row>
    <row r="75" spans="1:14" ht="15.6" x14ac:dyDescent="0.3">
      <c r="A75" s="3"/>
      <c r="B75" s="3"/>
      <c r="C75" s="3">
        <f t="shared" si="4"/>
        <v>0</v>
      </c>
      <c r="D75" s="7"/>
      <c r="E75" s="8"/>
      <c r="F75" s="58"/>
      <c r="I75" s="7">
        <v>10</v>
      </c>
      <c r="J75" s="8" t="s">
        <v>294</v>
      </c>
      <c r="K75" s="41"/>
      <c r="L75" s="235"/>
      <c r="M75" s="7">
        <f t="shared" si="3"/>
        <v>2070000</v>
      </c>
      <c r="N75" s="7"/>
    </row>
    <row r="76" spans="1:14" ht="15.6" x14ac:dyDescent="0.3">
      <c r="A76" s="3"/>
      <c r="B76" s="3"/>
      <c r="C76" s="3">
        <f t="shared" si="4"/>
        <v>0</v>
      </c>
      <c r="D76" s="7"/>
      <c r="E76" s="8"/>
      <c r="F76" s="58"/>
      <c r="I76" s="7">
        <v>11</v>
      </c>
      <c r="J76" s="8" t="s">
        <v>9</v>
      </c>
      <c r="K76" s="41"/>
      <c r="L76" s="235"/>
      <c r="M76" s="7">
        <f t="shared" si="3"/>
        <v>2070000</v>
      </c>
      <c r="N76" s="7"/>
    </row>
    <row r="77" spans="1:14" ht="15.6" x14ac:dyDescent="0.3">
      <c r="A77" s="3"/>
      <c r="B77" s="3"/>
      <c r="C77" s="3">
        <f t="shared" si="4"/>
        <v>0</v>
      </c>
      <c r="D77" s="7"/>
      <c r="E77" s="8"/>
      <c r="F77" s="58"/>
      <c r="I77" s="7">
        <v>12</v>
      </c>
      <c r="J77" s="8" t="s">
        <v>19</v>
      </c>
      <c r="K77" s="41"/>
      <c r="L77" s="235"/>
      <c r="M77" s="7">
        <f t="shared" si="3"/>
        <v>2070000</v>
      </c>
      <c r="N77" s="7"/>
    </row>
    <row r="78" spans="1:14" ht="15.6" x14ac:dyDescent="0.3">
      <c r="A78" s="3"/>
      <c r="B78" s="3"/>
      <c r="C78" s="3">
        <f t="shared" si="4"/>
        <v>0</v>
      </c>
      <c r="D78" s="7"/>
      <c r="E78" s="8"/>
      <c r="F78" s="58"/>
      <c r="I78" s="7">
        <v>13</v>
      </c>
      <c r="J78" s="8" t="s">
        <v>67</v>
      </c>
      <c r="K78" s="41"/>
      <c r="L78" s="235"/>
      <c r="M78" s="7">
        <f t="shared" si="3"/>
        <v>2070000</v>
      </c>
      <c r="N78" s="7"/>
    </row>
    <row r="79" spans="1:14" ht="15.6" x14ac:dyDescent="0.3">
      <c r="A79" s="3"/>
      <c r="B79" s="3"/>
      <c r="C79" s="3">
        <f t="shared" si="4"/>
        <v>0</v>
      </c>
      <c r="D79" s="7"/>
      <c r="E79" s="8"/>
      <c r="F79" s="58"/>
      <c r="I79" s="7">
        <v>14</v>
      </c>
      <c r="J79" s="8" t="s">
        <v>68</v>
      </c>
      <c r="K79" s="41"/>
      <c r="L79" s="235"/>
      <c r="M79" s="7">
        <f t="shared" si="3"/>
        <v>2070000</v>
      </c>
      <c r="N79" s="7"/>
    </row>
    <row r="80" spans="1:14" ht="15.6" x14ac:dyDescent="0.3">
      <c r="A80" s="3"/>
      <c r="B80" s="3"/>
      <c r="C80" s="3">
        <f t="shared" si="4"/>
        <v>0</v>
      </c>
      <c r="D80" s="7"/>
      <c r="E80" s="8"/>
      <c r="F80" s="58"/>
      <c r="I80" s="7">
        <v>15</v>
      </c>
      <c r="J80" s="8" t="s">
        <v>69</v>
      </c>
      <c r="K80" s="41"/>
      <c r="L80" s="235"/>
      <c r="M80" s="7">
        <f t="shared" si="3"/>
        <v>2070000</v>
      </c>
      <c r="N80" s="7"/>
    </row>
    <row r="81" spans="1:14" ht="15.6" x14ac:dyDescent="0.3">
      <c r="A81" s="3"/>
      <c r="B81" s="3"/>
      <c r="C81" s="3">
        <f t="shared" si="4"/>
        <v>0</v>
      </c>
      <c r="D81" s="7"/>
      <c r="E81" s="8"/>
      <c r="F81" s="58"/>
      <c r="I81" s="7">
        <v>16</v>
      </c>
      <c r="J81" s="8" t="s">
        <v>73</v>
      </c>
      <c r="K81" s="41"/>
      <c r="L81" s="235"/>
      <c r="M81" s="7">
        <f t="shared" si="3"/>
        <v>2070000</v>
      </c>
      <c r="N81" s="7"/>
    </row>
    <row r="82" spans="1:14" ht="15.6" x14ac:dyDescent="0.3">
      <c r="A82" s="3"/>
      <c r="B82" s="3"/>
      <c r="C82" s="3">
        <f t="shared" si="4"/>
        <v>0</v>
      </c>
      <c r="D82" s="7"/>
      <c r="E82" s="8"/>
      <c r="F82" s="58"/>
      <c r="I82" s="7">
        <v>17</v>
      </c>
      <c r="J82" s="8" t="s">
        <v>74</v>
      </c>
      <c r="K82" s="41"/>
      <c r="L82" s="235"/>
      <c r="M82" s="7">
        <f t="shared" si="3"/>
        <v>2070000</v>
      </c>
      <c r="N82" s="7"/>
    </row>
    <row r="83" spans="1:14" ht="15.6" x14ac:dyDescent="0.3">
      <c r="A83" s="3"/>
      <c r="B83" s="3"/>
      <c r="C83" s="3">
        <f t="shared" si="4"/>
        <v>0</v>
      </c>
      <c r="D83" s="7"/>
      <c r="E83" s="8"/>
      <c r="F83" s="58"/>
      <c r="I83" s="7">
        <v>18</v>
      </c>
      <c r="J83" s="8" t="s">
        <v>75</v>
      </c>
      <c r="K83" s="41"/>
      <c r="L83" s="235"/>
      <c r="M83" s="7">
        <f t="shared" si="3"/>
        <v>2070000</v>
      </c>
      <c r="N83" s="7"/>
    </row>
    <row r="84" spans="1:14" ht="15.6" x14ac:dyDescent="0.3">
      <c r="A84" s="3"/>
      <c r="B84" s="3"/>
      <c r="C84" s="3">
        <f t="shared" si="4"/>
        <v>0</v>
      </c>
      <c r="D84" s="7"/>
      <c r="E84" s="8"/>
      <c r="F84" s="58"/>
      <c r="I84" s="7">
        <v>19</v>
      </c>
      <c r="J84" s="8" t="s">
        <v>76</v>
      </c>
      <c r="K84" s="41"/>
      <c r="L84" s="235">
        <v>160000</v>
      </c>
      <c r="M84" s="7">
        <f t="shared" si="3"/>
        <v>1910000</v>
      </c>
      <c r="N84" s="7" t="s">
        <v>136</v>
      </c>
    </row>
    <row r="85" spans="1:14" ht="15.6" x14ac:dyDescent="0.3">
      <c r="A85" s="3"/>
      <c r="B85" s="3"/>
      <c r="C85" s="3">
        <f t="shared" si="4"/>
        <v>0</v>
      </c>
      <c r="D85" s="7"/>
      <c r="E85" s="8"/>
      <c r="F85" s="58"/>
      <c r="I85" s="7">
        <v>20</v>
      </c>
      <c r="J85" s="8" t="s">
        <v>77</v>
      </c>
      <c r="K85" s="41"/>
      <c r="L85" s="235"/>
      <c r="M85" s="7">
        <f t="shared" si="3"/>
        <v>1910000</v>
      </c>
      <c r="N85" s="7"/>
    </row>
    <row r="86" spans="1:14" ht="15.6" x14ac:dyDescent="0.3">
      <c r="A86" s="3"/>
      <c r="B86" s="3"/>
      <c r="C86" s="3">
        <f t="shared" si="4"/>
        <v>0</v>
      </c>
      <c r="D86" s="7"/>
      <c r="E86" s="8"/>
      <c r="F86" s="58"/>
    </row>
    <row r="87" spans="1:14" ht="15.6" x14ac:dyDescent="0.3">
      <c r="A87" s="3"/>
      <c r="B87" s="3"/>
      <c r="C87" s="3">
        <f t="shared" si="4"/>
        <v>0</v>
      </c>
      <c r="D87" s="7"/>
      <c r="E87" s="8"/>
      <c r="F87" s="58"/>
    </row>
    <row r="88" spans="1:14" ht="15.6" x14ac:dyDescent="0.3">
      <c r="A88" s="3"/>
      <c r="B88" s="3"/>
      <c r="C88" s="3">
        <f t="shared" si="4"/>
        <v>0</v>
      </c>
      <c r="D88" s="7"/>
      <c r="E88" s="8"/>
      <c r="F88" s="58"/>
    </row>
    <row r="89" spans="1:14" ht="15.6" x14ac:dyDescent="0.3">
      <c r="A89" s="3"/>
      <c r="B89" s="3"/>
      <c r="C89" s="3">
        <f t="shared" si="4"/>
        <v>0</v>
      </c>
      <c r="D89" s="7"/>
      <c r="E89" s="8"/>
      <c r="F89" s="58"/>
      <c r="I89" s="5"/>
      <c r="J89" s="5" t="s">
        <v>37</v>
      </c>
      <c r="K89" s="5" t="s">
        <v>336</v>
      </c>
      <c r="L89" s="272"/>
      <c r="M89" s="272"/>
      <c r="N89" s="5" t="s">
        <v>325</v>
      </c>
    </row>
    <row r="90" spans="1:14" ht="15.6" x14ac:dyDescent="0.3">
      <c r="A90" s="3"/>
      <c r="B90" s="3"/>
      <c r="C90" s="3">
        <f t="shared" si="4"/>
        <v>0</v>
      </c>
      <c r="D90" s="7"/>
      <c r="E90" s="8"/>
      <c r="F90" s="58"/>
      <c r="I90" s="7" t="s">
        <v>40</v>
      </c>
      <c r="J90" s="7" t="s">
        <v>6</v>
      </c>
      <c r="K90" s="41" t="s">
        <v>41</v>
      </c>
      <c r="L90" s="235" t="s">
        <v>42</v>
      </c>
      <c r="M90" s="7" t="s">
        <v>43</v>
      </c>
      <c r="N90" s="7" t="s">
        <v>7</v>
      </c>
    </row>
    <row r="91" spans="1:14" ht="15.6" x14ac:dyDescent="0.3">
      <c r="A91" s="3"/>
      <c r="B91" s="3"/>
      <c r="C91" s="3">
        <f t="shared" si="4"/>
        <v>0</v>
      </c>
      <c r="D91" s="7"/>
      <c r="E91" s="8"/>
      <c r="F91" s="58"/>
      <c r="I91" s="7"/>
      <c r="J91" s="7"/>
      <c r="K91" s="49">
        <v>3500000</v>
      </c>
      <c r="L91" s="235"/>
      <c r="M91" s="7">
        <f>K91-L91</f>
        <v>3500000</v>
      </c>
      <c r="N91" s="7" t="s">
        <v>44</v>
      </c>
    </row>
    <row r="92" spans="1:14" ht="15.6" x14ac:dyDescent="0.3">
      <c r="A92" s="3"/>
      <c r="B92" s="3"/>
      <c r="C92" s="3">
        <f t="shared" si="4"/>
        <v>0</v>
      </c>
      <c r="D92" s="7"/>
      <c r="E92" s="8"/>
      <c r="F92" s="58"/>
      <c r="I92" s="7"/>
      <c r="J92" s="8"/>
      <c r="K92" s="41"/>
      <c r="L92" s="235"/>
      <c r="M92" s="7">
        <f>M91-L92</f>
        <v>3500000</v>
      </c>
      <c r="N92" s="7"/>
    </row>
    <row r="93" spans="1:14" ht="15.6" x14ac:dyDescent="0.3">
      <c r="A93" s="3"/>
      <c r="B93" s="3"/>
      <c r="C93" s="3">
        <f t="shared" si="4"/>
        <v>0</v>
      </c>
      <c r="D93" s="7"/>
      <c r="E93" s="8"/>
      <c r="F93" s="7"/>
      <c r="I93" s="7"/>
      <c r="J93" s="8">
        <v>45501</v>
      </c>
      <c r="K93" s="41"/>
      <c r="L93" s="236">
        <v>500000</v>
      </c>
      <c r="M93" s="7">
        <f>M92-L93</f>
        <v>3000000</v>
      </c>
      <c r="N93" s="7" t="s">
        <v>337</v>
      </c>
    </row>
    <row r="94" spans="1:14" ht="15.6" x14ac:dyDescent="0.3">
      <c r="A94" s="3"/>
      <c r="B94" s="3"/>
      <c r="C94" s="3">
        <f t="shared" si="4"/>
        <v>0</v>
      </c>
      <c r="D94" s="7"/>
      <c r="E94" s="8"/>
      <c r="F94" s="7"/>
      <c r="I94" s="7">
        <v>1</v>
      </c>
      <c r="J94" s="8" t="s">
        <v>94</v>
      </c>
      <c r="K94" s="41"/>
      <c r="L94" s="235">
        <v>150000</v>
      </c>
      <c r="M94" s="7">
        <f t="shared" ref="M94:M113" si="5">M93-L94</f>
        <v>2850000</v>
      </c>
      <c r="N94" s="52">
        <v>45564</v>
      </c>
    </row>
    <row r="95" spans="1:14" ht="15.6" x14ac:dyDescent="0.3">
      <c r="A95" s="3"/>
      <c r="B95" s="3"/>
      <c r="C95" s="3">
        <f t="shared" si="4"/>
        <v>0</v>
      </c>
      <c r="D95" s="7"/>
      <c r="E95" s="8"/>
      <c r="F95" s="7"/>
      <c r="I95" s="7">
        <v>2</v>
      </c>
      <c r="J95" s="8" t="s">
        <v>331</v>
      </c>
      <c r="K95" s="41"/>
      <c r="L95" s="237">
        <v>150000</v>
      </c>
      <c r="M95" s="7">
        <f t="shared" si="5"/>
        <v>2700000</v>
      </c>
      <c r="N95" s="7" t="s">
        <v>136</v>
      </c>
    </row>
    <row r="96" spans="1:14" ht="15.6" x14ac:dyDescent="0.3">
      <c r="A96" s="3"/>
      <c r="B96" s="3"/>
      <c r="C96" s="3">
        <f t="shared" si="4"/>
        <v>0</v>
      </c>
      <c r="D96" s="7"/>
      <c r="E96" s="8"/>
      <c r="F96" s="7"/>
      <c r="I96" s="7">
        <v>3</v>
      </c>
      <c r="J96" s="8" t="s">
        <v>143</v>
      </c>
      <c r="K96" s="41"/>
      <c r="L96" s="237">
        <v>150000</v>
      </c>
      <c r="M96" s="7">
        <f t="shared" si="5"/>
        <v>2550000</v>
      </c>
      <c r="N96" s="7" t="s">
        <v>136</v>
      </c>
    </row>
    <row r="97" spans="1:14" ht="15.6" x14ac:dyDescent="0.3">
      <c r="A97" s="3"/>
      <c r="B97" s="3"/>
      <c r="C97" s="3">
        <f t="shared" si="4"/>
        <v>0</v>
      </c>
      <c r="D97" s="7"/>
      <c r="E97" s="8"/>
      <c r="F97" s="7"/>
      <c r="I97" s="7">
        <v>4</v>
      </c>
      <c r="J97" s="8" t="s">
        <v>332</v>
      </c>
      <c r="K97" s="41"/>
      <c r="L97" s="237">
        <v>150000</v>
      </c>
      <c r="M97" s="7">
        <f t="shared" si="5"/>
        <v>2400000</v>
      </c>
      <c r="N97" s="7" t="s">
        <v>136</v>
      </c>
    </row>
    <row r="98" spans="1:14" ht="15.6" x14ac:dyDescent="0.3">
      <c r="A98" s="3"/>
      <c r="B98" s="3"/>
      <c r="C98" s="3">
        <f t="shared" si="4"/>
        <v>0</v>
      </c>
      <c r="D98" s="7"/>
      <c r="E98" s="8"/>
      <c r="F98" s="7"/>
      <c r="I98" s="7">
        <v>5</v>
      </c>
      <c r="J98" s="8" t="s">
        <v>96</v>
      </c>
      <c r="K98" s="41"/>
      <c r="L98" s="235">
        <v>150000</v>
      </c>
      <c r="M98" s="7">
        <f t="shared" si="5"/>
        <v>2250000</v>
      </c>
      <c r="N98" s="7" t="s">
        <v>136</v>
      </c>
    </row>
    <row r="99" spans="1:14" ht="15.6" x14ac:dyDescent="0.3">
      <c r="A99" s="3"/>
      <c r="B99" s="3"/>
      <c r="C99" s="3">
        <f t="shared" si="4"/>
        <v>0</v>
      </c>
      <c r="D99" s="7"/>
      <c r="E99" s="8"/>
      <c r="F99" s="7"/>
      <c r="I99" s="7">
        <v>6</v>
      </c>
      <c r="J99" s="8" t="s">
        <v>333</v>
      </c>
      <c r="K99" s="41"/>
      <c r="L99" s="235">
        <v>150000</v>
      </c>
      <c r="M99" s="7">
        <f t="shared" si="5"/>
        <v>2100000</v>
      </c>
      <c r="N99" s="7" t="s">
        <v>136</v>
      </c>
    </row>
    <row r="100" spans="1:14" ht="15.6" x14ac:dyDescent="0.3">
      <c r="A100" s="3"/>
      <c r="B100" s="3"/>
      <c r="C100" s="3">
        <f t="shared" si="4"/>
        <v>0</v>
      </c>
      <c r="D100" s="7"/>
      <c r="E100" s="8"/>
      <c r="F100" s="7"/>
      <c r="I100" s="7">
        <v>7</v>
      </c>
      <c r="J100" s="8" t="s">
        <v>334</v>
      </c>
      <c r="K100" s="41"/>
      <c r="L100" s="235">
        <v>150000</v>
      </c>
      <c r="M100" s="7">
        <f t="shared" si="5"/>
        <v>1950000</v>
      </c>
      <c r="N100" s="7" t="s">
        <v>136</v>
      </c>
    </row>
    <row r="101" spans="1:14" ht="15.6" x14ac:dyDescent="0.3">
      <c r="A101" s="3"/>
      <c r="B101" s="3"/>
      <c r="C101" s="3">
        <f t="shared" si="4"/>
        <v>0</v>
      </c>
      <c r="D101" s="7"/>
      <c r="E101" s="8"/>
      <c r="F101" s="7"/>
      <c r="I101" s="7">
        <v>8</v>
      </c>
      <c r="J101" s="8" t="s">
        <v>287</v>
      </c>
      <c r="K101" s="41"/>
      <c r="L101" s="235"/>
      <c r="M101" s="7">
        <f t="shared" si="5"/>
        <v>1950000</v>
      </c>
      <c r="N101" s="7"/>
    </row>
    <row r="102" spans="1:14" ht="15.6" x14ac:dyDescent="0.3">
      <c r="A102" s="3"/>
      <c r="B102" s="3"/>
      <c r="C102" s="3">
        <f t="shared" si="4"/>
        <v>0</v>
      </c>
      <c r="D102" s="7"/>
      <c r="E102" s="8"/>
      <c r="F102" s="7"/>
      <c r="I102" s="7">
        <v>9</v>
      </c>
      <c r="J102" s="8" t="s">
        <v>335</v>
      </c>
      <c r="K102" s="41"/>
      <c r="L102" s="235"/>
      <c r="M102" s="7">
        <f t="shared" si="5"/>
        <v>1950000</v>
      </c>
      <c r="N102" s="7"/>
    </row>
    <row r="103" spans="1:14" ht="15.6" x14ac:dyDescent="0.3">
      <c r="A103" s="3"/>
      <c r="B103" s="3"/>
      <c r="C103" s="3">
        <f t="shared" si="4"/>
        <v>0</v>
      </c>
      <c r="D103" s="7"/>
      <c r="E103" s="8"/>
      <c r="F103" s="7"/>
      <c r="I103" s="7">
        <v>10</v>
      </c>
      <c r="J103" s="8" t="s">
        <v>294</v>
      </c>
      <c r="K103" s="41"/>
      <c r="L103" s="235"/>
      <c r="M103" s="7">
        <f t="shared" si="5"/>
        <v>1950000</v>
      </c>
      <c r="N103" s="7"/>
    </row>
    <row r="104" spans="1:14" ht="15.6" x14ac:dyDescent="0.3">
      <c r="A104" s="3"/>
      <c r="B104" s="3"/>
      <c r="C104" s="3">
        <f t="shared" si="4"/>
        <v>0</v>
      </c>
      <c r="D104" s="7"/>
      <c r="E104" s="8"/>
      <c r="F104" s="7"/>
      <c r="I104" s="7">
        <v>11</v>
      </c>
      <c r="J104" s="8" t="s">
        <v>9</v>
      </c>
      <c r="K104" s="41"/>
      <c r="L104" s="235"/>
      <c r="M104" s="7">
        <f t="shared" si="5"/>
        <v>1950000</v>
      </c>
      <c r="N104" s="7"/>
    </row>
    <row r="105" spans="1:14" ht="15.6" x14ac:dyDescent="0.3">
      <c r="A105" s="3"/>
      <c r="B105" s="3"/>
      <c r="C105" s="3">
        <f t="shared" si="4"/>
        <v>0</v>
      </c>
      <c r="D105" s="7"/>
      <c r="E105" s="8"/>
      <c r="F105" s="7"/>
      <c r="I105" s="7">
        <v>12</v>
      </c>
      <c r="J105" s="8" t="s">
        <v>19</v>
      </c>
      <c r="K105" s="41"/>
      <c r="L105" s="235"/>
      <c r="M105" s="7">
        <f t="shared" si="5"/>
        <v>1950000</v>
      </c>
      <c r="N105" s="7"/>
    </row>
    <row r="106" spans="1:14" ht="15.6" x14ac:dyDescent="0.3">
      <c r="A106" s="3"/>
      <c r="B106" s="3"/>
      <c r="C106" s="3">
        <f t="shared" si="4"/>
        <v>0</v>
      </c>
      <c r="D106" s="7"/>
      <c r="E106" s="8"/>
      <c r="F106" s="7"/>
      <c r="I106" s="7">
        <v>13</v>
      </c>
      <c r="J106" s="8" t="s">
        <v>67</v>
      </c>
      <c r="K106" s="41"/>
      <c r="L106" s="235"/>
      <c r="M106" s="7">
        <f t="shared" si="5"/>
        <v>1950000</v>
      </c>
      <c r="N106" s="7"/>
    </row>
    <row r="107" spans="1:14" ht="15.6" x14ac:dyDescent="0.3">
      <c r="A107" s="3"/>
      <c r="B107" s="3"/>
      <c r="C107" s="3">
        <f t="shared" si="4"/>
        <v>0</v>
      </c>
      <c r="D107" s="7"/>
      <c r="E107" s="8"/>
      <c r="F107" s="7"/>
      <c r="I107" s="7">
        <v>14</v>
      </c>
      <c r="J107" s="8" t="s">
        <v>68</v>
      </c>
      <c r="K107" s="41"/>
      <c r="L107" s="235"/>
      <c r="M107" s="7">
        <f t="shared" si="5"/>
        <v>1950000</v>
      </c>
      <c r="N107" s="7"/>
    </row>
    <row r="108" spans="1:14" ht="15.6" x14ac:dyDescent="0.3">
      <c r="A108" s="3"/>
      <c r="B108" s="3"/>
      <c r="C108" s="3">
        <f t="shared" si="4"/>
        <v>0</v>
      </c>
      <c r="D108" s="7"/>
      <c r="E108" s="8"/>
      <c r="F108" s="7"/>
      <c r="I108" s="7">
        <v>15</v>
      </c>
      <c r="J108" s="8" t="s">
        <v>69</v>
      </c>
      <c r="K108" s="41"/>
      <c r="L108" s="235"/>
      <c r="M108" s="7">
        <f t="shared" si="5"/>
        <v>1950000</v>
      </c>
      <c r="N108" s="7"/>
    </row>
    <row r="109" spans="1:14" ht="15.6" x14ac:dyDescent="0.3">
      <c r="A109" s="3"/>
      <c r="B109" s="3"/>
      <c r="C109" s="3">
        <f t="shared" si="4"/>
        <v>0</v>
      </c>
      <c r="D109" s="7"/>
      <c r="E109" s="8"/>
      <c r="F109" s="7"/>
      <c r="I109" s="7">
        <v>16</v>
      </c>
      <c r="J109" s="8" t="s">
        <v>73</v>
      </c>
      <c r="K109" s="41"/>
      <c r="L109" s="235"/>
      <c r="M109" s="7">
        <f t="shared" si="5"/>
        <v>1950000</v>
      </c>
      <c r="N109" s="7"/>
    </row>
    <row r="110" spans="1:14" ht="15.6" x14ac:dyDescent="0.3">
      <c r="A110" s="3"/>
      <c r="B110" s="3"/>
      <c r="C110" s="3">
        <f t="shared" si="4"/>
        <v>0</v>
      </c>
      <c r="D110" s="7"/>
      <c r="E110" s="8"/>
      <c r="F110" s="7"/>
      <c r="I110" s="7">
        <v>17</v>
      </c>
      <c r="J110" s="8" t="s">
        <v>74</v>
      </c>
      <c r="K110" s="41"/>
      <c r="L110" s="235"/>
      <c r="M110" s="7">
        <f t="shared" si="5"/>
        <v>1950000</v>
      </c>
      <c r="N110" s="7"/>
    </row>
    <row r="111" spans="1:14" ht="15.6" x14ac:dyDescent="0.3">
      <c r="A111" s="3"/>
      <c r="B111" s="3"/>
      <c r="C111" s="3">
        <f t="shared" si="4"/>
        <v>0</v>
      </c>
      <c r="D111" s="7"/>
      <c r="E111" s="8"/>
      <c r="F111" s="7"/>
      <c r="I111" s="7">
        <v>18</v>
      </c>
      <c r="J111" s="8" t="s">
        <v>75</v>
      </c>
      <c r="K111" s="41"/>
      <c r="L111" s="235"/>
      <c r="M111" s="7">
        <f t="shared" si="5"/>
        <v>1950000</v>
      </c>
      <c r="N111" s="7"/>
    </row>
    <row r="112" spans="1:14" ht="15.6" x14ac:dyDescent="0.3">
      <c r="A112" s="3"/>
      <c r="B112" s="3"/>
      <c r="C112" s="3">
        <f t="shared" si="4"/>
        <v>0</v>
      </c>
      <c r="D112" s="7"/>
      <c r="E112" s="8"/>
      <c r="F112" s="7"/>
      <c r="I112" s="7">
        <v>19</v>
      </c>
      <c r="J112" s="50" t="s">
        <v>76</v>
      </c>
      <c r="K112" s="49"/>
      <c r="L112" s="235">
        <v>150000</v>
      </c>
      <c r="M112" s="7">
        <f t="shared" si="5"/>
        <v>1800000</v>
      </c>
      <c r="N112" s="7" t="s">
        <v>136</v>
      </c>
    </row>
    <row r="113" spans="1:19" ht="15.6" x14ac:dyDescent="0.3">
      <c r="A113" s="3"/>
      <c r="B113" s="3"/>
      <c r="C113" s="3">
        <f t="shared" si="4"/>
        <v>0</v>
      </c>
      <c r="D113" s="7"/>
      <c r="E113" s="8"/>
      <c r="F113" s="7"/>
      <c r="I113" s="7">
        <v>20</v>
      </c>
      <c r="J113" s="50" t="s">
        <v>78</v>
      </c>
      <c r="K113" s="49"/>
      <c r="L113" s="236"/>
      <c r="M113" s="7">
        <f t="shared" si="5"/>
        <v>1800000</v>
      </c>
      <c r="N113" s="7"/>
    </row>
    <row r="114" spans="1:19" ht="15.6" x14ac:dyDescent="0.3">
      <c r="A114" s="3"/>
      <c r="B114" s="3"/>
      <c r="C114" s="3">
        <f t="shared" si="4"/>
        <v>0</v>
      </c>
      <c r="D114" s="7"/>
      <c r="E114" s="8"/>
      <c r="F114" s="7"/>
    </row>
    <row r="115" spans="1:19" ht="15.6" x14ac:dyDescent="0.3">
      <c r="A115" s="3"/>
      <c r="B115" s="3"/>
      <c r="C115" s="3">
        <f t="shared" si="4"/>
        <v>0</v>
      </c>
      <c r="D115" s="7"/>
      <c r="E115" s="8"/>
      <c r="F115" s="7"/>
    </row>
    <row r="116" spans="1:19" ht="15.6" x14ac:dyDescent="0.3">
      <c r="A116" s="3"/>
      <c r="B116" s="3"/>
      <c r="C116" s="3">
        <f t="shared" si="4"/>
        <v>0</v>
      </c>
      <c r="D116" s="7"/>
      <c r="E116" s="8"/>
      <c r="F116" s="7"/>
    </row>
    <row r="117" spans="1:19" ht="15.6" x14ac:dyDescent="0.3">
      <c r="A117" s="3"/>
      <c r="B117" s="3"/>
      <c r="C117" s="3">
        <f t="shared" si="4"/>
        <v>0</v>
      </c>
      <c r="D117" s="7"/>
      <c r="E117" s="8"/>
      <c r="F117" s="7"/>
    </row>
    <row r="118" spans="1:19" ht="15.6" x14ac:dyDescent="0.3">
      <c r="A118" s="3"/>
      <c r="B118" s="3"/>
      <c r="C118" s="3">
        <f t="shared" si="4"/>
        <v>0</v>
      </c>
      <c r="D118" s="7"/>
      <c r="E118" s="8"/>
      <c r="F118" s="7"/>
    </row>
    <row r="119" spans="1:19" ht="16.2" thickBot="1" x14ac:dyDescent="0.35">
      <c r="A119" s="3"/>
      <c r="B119" s="3"/>
      <c r="C119" s="3">
        <f t="shared" si="4"/>
        <v>0</v>
      </c>
      <c r="D119" s="7"/>
      <c r="E119" s="8"/>
      <c r="F119" s="7"/>
      <c r="I119" s="292" t="s">
        <v>338</v>
      </c>
      <c r="J119" s="292"/>
      <c r="K119" s="292"/>
      <c r="L119" s="292"/>
    </row>
    <row r="120" spans="1:19" ht="16.2" thickTop="1" x14ac:dyDescent="0.3">
      <c r="A120" s="3"/>
      <c r="B120" s="3"/>
      <c r="C120" s="3">
        <f t="shared" si="4"/>
        <v>0</v>
      </c>
      <c r="D120" s="7"/>
      <c r="E120" s="8"/>
      <c r="F120" s="7"/>
      <c r="I120" s="139"/>
      <c r="J120" s="139"/>
      <c r="K120" s="139"/>
      <c r="L120" s="238"/>
    </row>
    <row r="121" spans="1:19" ht="18" x14ac:dyDescent="0.35">
      <c r="A121" s="3"/>
      <c r="B121" s="3"/>
      <c r="C121" s="3">
        <f t="shared" si="4"/>
        <v>0</v>
      </c>
      <c r="D121" s="7"/>
      <c r="E121" s="8"/>
      <c r="F121" s="7"/>
      <c r="I121" s="293" t="s">
        <v>339</v>
      </c>
      <c r="J121" s="293"/>
      <c r="K121" s="294" t="s">
        <v>305</v>
      </c>
      <c r="L121" s="294"/>
    </row>
    <row r="122" spans="1:19" ht="18" x14ac:dyDescent="0.35">
      <c r="A122" s="3"/>
      <c r="B122" s="3"/>
      <c r="C122" s="3">
        <f t="shared" si="4"/>
        <v>0</v>
      </c>
      <c r="D122" s="7"/>
      <c r="E122" s="8"/>
      <c r="F122" s="7"/>
      <c r="I122" s="140"/>
      <c r="J122" s="140"/>
      <c r="K122" s="141"/>
      <c r="L122" s="239"/>
    </row>
    <row r="123" spans="1:19" ht="18" x14ac:dyDescent="0.35">
      <c r="A123" s="3"/>
      <c r="B123" s="3"/>
      <c r="C123" s="3">
        <f t="shared" si="4"/>
        <v>0</v>
      </c>
      <c r="D123" s="7"/>
      <c r="E123" s="8"/>
      <c r="F123" s="7"/>
      <c r="I123" s="142" t="s">
        <v>40</v>
      </c>
      <c r="J123" s="142" t="s">
        <v>6</v>
      </c>
      <c r="K123" s="143" t="s">
        <v>340</v>
      </c>
      <c r="L123" s="240" t="s">
        <v>341</v>
      </c>
      <c r="M123" s="144" t="s">
        <v>7</v>
      </c>
      <c r="O123" s="145" t="s">
        <v>342</v>
      </c>
    </row>
    <row r="124" spans="1:19" ht="15.6" x14ac:dyDescent="0.3">
      <c r="A124" s="3"/>
      <c r="B124" s="3"/>
      <c r="C124" s="3">
        <f t="shared" si="4"/>
        <v>0</v>
      </c>
      <c r="D124" s="7"/>
      <c r="E124" s="8"/>
      <c r="F124" s="7"/>
      <c r="I124" s="7">
        <v>1</v>
      </c>
      <c r="J124" s="94">
        <v>45508</v>
      </c>
      <c r="K124" s="57">
        <v>140000</v>
      </c>
      <c r="L124" s="57" t="s">
        <v>311</v>
      </c>
      <c r="M124" s="146"/>
      <c r="O124" s="147" t="s">
        <v>306</v>
      </c>
    </row>
    <row r="125" spans="1:19" ht="15.6" x14ac:dyDescent="0.3">
      <c r="A125" s="3"/>
      <c r="B125" s="3"/>
      <c r="C125" s="3">
        <f t="shared" si="4"/>
        <v>0</v>
      </c>
      <c r="D125" s="7"/>
      <c r="E125" s="8"/>
      <c r="F125" s="7"/>
      <c r="I125" s="7">
        <v>2</v>
      </c>
      <c r="J125" s="148" t="s">
        <v>343</v>
      </c>
      <c r="K125" s="77"/>
      <c r="L125" s="77" t="s">
        <v>344</v>
      </c>
      <c r="M125" s="146"/>
      <c r="O125" s="147" t="s">
        <v>345</v>
      </c>
      <c r="Q125" s="148" t="s">
        <v>343</v>
      </c>
      <c r="R125" s="51">
        <v>430000</v>
      </c>
      <c r="S125" s="51" t="s">
        <v>344</v>
      </c>
    </row>
    <row r="126" spans="1:19" ht="15.6" x14ac:dyDescent="0.3">
      <c r="A126" s="3"/>
      <c r="B126" s="3"/>
      <c r="C126" s="3">
        <f t="shared" si="4"/>
        <v>0</v>
      </c>
      <c r="D126" s="7"/>
      <c r="E126" s="8"/>
      <c r="F126" s="7"/>
      <c r="I126" s="7">
        <v>3</v>
      </c>
      <c r="J126" s="94">
        <v>45403</v>
      </c>
      <c r="K126" s="231">
        <v>20000</v>
      </c>
      <c r="L126" s="57" t="s">
        <v>312</v>
      </c>
      <c r="M126" s="146"/>
      <c r="O126" s="147" t="s">
        <v>346</v>
      </c>
    </row>
    <row r="127" spans="1:19" ht="15.6" x14ac:dyDescent="0.3">
      <c r="A127" s="3"/>
      <c r="B127" s="3"/>
      <c r="C127" s="3">
        <f t="shared" si="4"/>
        <v>0</v>
      </c>
      <c r="D127" s="7"/>
      <c r="E127" s="8"/>
      <c r="F127" s="7"/>
      <c r="I127" s="7">
        <v>4</v>
      </c>
      <c r="J127" s="94">
        <v>45412</v>
      </c>
      <c r="K127" s="231">
        <v>300000</v>
      </c>
      <c r="L127" s="57" t="s">
        <v>313</v>
      </c>
      <c r="M127" s="146"/>
      <c r="O127" s="147" t="s">
        <v>347</v>
      </c>
    </row>
    <row r="128" spans="1:19" ht="15.6" x14ac:dyDescent="0.3">
      <c r="A128" s="3"/>
      <c r="B128" s="3"/>
      <c r="C128" s="3">
        <f t="shared" si="4"/>
        <v>0</v>
      </c>
      <c r="D128" s="7"/>
      <c r="E128" s="8"/>
      <c r="F128" s="7"/>
      <c r="I128" s="7">
        <v>5</v>
      </c>
      <c r="J128" s="94">
        <v>45426</v>
      </c>
      <c r="K128" s="231">
        <v>165000</v>
      </c>
      <c r="L128" s="57" t="s">
        <v>314</v>
      </c>
      <c r="M128" s="146"/>
      <c r="O128" s="147"/>
    </row>
    <row r="129" spans="1:15" ht="15.6" x14ac:dyDescent="0.3">
      <c r="A129" s="3"/>
      <c r="B129" s="3"/>
      <c r="C129" s="3">
        <f t="shared" si="4"/>
        <v>0</v>
      </c>
      <c r="D129" s="7"/>
      <c r="E129" s="8"/>
      <c r="F129" s="7"/>
      <c r="I129" s="7">
        <v>6</v>
      </c>
      <c r="J129" s="94">
        <v>45426</v>
      </c>
      <c r="K129" s="231">
        <v>100000</v>
      </c>
      <c r="L129" s="57" t="s">
        <v>315</v>
      </c>
      <c r="M129" s="146"/>
      <c r="O129" s="149"/>
    </row>
    <row r="130" spans="1:15" ht="15.6" x14ac:dyDescent="0.3">
      <c r="A130" s="3"/>
      <c r="B130" s="3"/>
      <c r="C130" s="3">
        <f t="shared" si="4"/>
        <v>0</v>
      </c>
      <c r="D130" s="7"/>
      <c r="E130" s="8"/>
      <c r="F130" s="7"/>
      <c r="I130" s="7">
        <v>7</v>
      </c>
      <c r="J130" s="94">
        <v>45439</v>
      </c>
      <c r="K130" s="231">
        <v>150000</v>
      </c>
      <c r="L130" s="57" t="s">
        <v>316</v>
      </c>
      <c r="M130" s="146"/>
      <c r="O130" s="149"/>
    </row>
    <row r="131" spans="1:15" ht="15.6" x14ac:dyDescent="0.3">
      <c r="A131" s="3"/>
      <c r="B131" s="3"/>
      <c r="C131" s="3">
        <f t="shared" si="4"/>
        <v>0</v>
      </c>
      <c r="D131" s="7"/>
      <c r="E131" s="8"/>
      <c r="F131" s="7"/>
      <c r="I131" s="7">
        <v>8</v>
      </c>
      <c r="J131" s="94">
        <v>45454</v>
      </c>
      <c r="K131" s="232">
        <v>165000</v>
      </c>
      <c r="L131" s="69" t="s">
        <v>317</v>
      </c>
      <c r="M131" s="146"/>
      <c r="O131" s="149"/>
    </row>
    <row r="132" spans="1:15" ht="15.6" x14ac:dyDescent="0.3">
      <c r="A132" s="3"/>
      <c r="B132" s="3"/>
      <c r="C132" s="3">
        <f t="shared" si="4"/>
        <v>0</v>
      </c>
      <c r="D132" s="7"/>
      <c r="E132" s="8"/>
      <c r="F132" s="7"/>
      <c r="I132" s="7">
        <v>9</v>
      </c>
      <c r="J132" s="97">
        <v>45501</v>
      </c>
      <c r="K132" s="233">
        <v>500000</v>
      </c>
      <c r="L132" s="134" t="s">
        <v>318</v>
      </c>
      <c r="M132" s="146"/>
      <c r="O132" s="149"/>
    </row>
    <row r="133" spans="1:15" ht="15.6" x14ac:dyDescent="0.3">
      <c r="A133" s="3"/>
      <c r="B133" s="3"/>
      <c r="C133" s="3">
        <f t="shared" si="4"/>
        <v>0</v>
      </c>
      <c r="D133" s="7"/>
      <c r="E133" s="8"/>
      <c r="F133" s="7"/>
      <c r="I133" s="7">
        <v>10</v>
      </c>
      <c r="J133" s="70">
        <v>45533</v>
      </c>
      <c r="K133" s="233">
        <v>500000</v>
      </c>
      <c r="L133" s="69" t="s">
        <v>319</v>
      </c>
      <c r="M133" s="146"/>
      <c r="O133" s="149"/>
    </row>
    <row r="134" spans="1:15" ht="15.6" x14ac:dyDescent="0.3">
      <c r="A134" s="3"/>
      <c r="B134" s="3"/>
      <c r="C134" s="3">
        <f t="shared" si="4"/>
        <v>0</v>
      </c>
      <c r="D134" s="7"/>
      <c r="E134" s="8"/>
      <c r="F134" s="7"/>
      <c r="I134" s="7">
        <v>11</v>
      </c>
      <c r="J134" s="70">
        <v>45533</v>
      </c>
      <c r="K134" s="233">
        <v>140000</v>
      </c>
      <c r="L134" s="69" t="s">
        <v>320</v>
      </c>
      <c r="M134" s="146"/>
    </row>
    <row r="135" spans="1:15" ht="15.6" x14ac:dyDescent="0.3">
      <c r="A135" s="3"/>
      <c r="B135" s="3"/>
      <c r="C135" s="3">
        <f t="shared" si="4"/>
        <v>0</v>
      </c>
      <c r="D135" s="7"/>
      <c r="E135" s="8"/>
      <c r="F135" s="7"/>
      <c r="I135" s="7">
        <v>12</v>
      </c>
      <c r="J135" s="70">
        <v>45533</v>
      </c>
      <c r="K135" s="233">
        <v>165000</v>
      </c>
      <c r="L135" s="69" t="s">
        <v>317</v>
      </c>
      <c r="M135" s="146"/>
    </row>
    <row r="136" spans="1:15" ht="15.6" x14ac:dyDescent="0.3">
      <c r="A136" s="3"/>
      <c r="B136" s="3"/>
      <c r="C136" s="3">
        <f t="shared" ref="C136:C153" si="6">IF(A136&gt;0,C135+A136-B136,C135-B136)</f>
        <v>0</v>
      </c>
      <c r="D136" s="7"/>
      <c r="E136" s="8"/>
      <c r="F136" s="7"/>
      <c r="I136" s="7">
        <v>13</v>
      </c>
      <c r="J136" s="70">
        <v>45564</v>
      </c>
      <c r="K136" s="233">
        <v>475000</v>
      </c>
      <c r="L136" s="69" t="s">
        <v>321</v>
      </c>
      <c r="M136" s="146"/>
    </row>
    <row r="137" spans="1:15" ht="15.6" x14ac:dyDescent="0.3">
      <c r="A137" s="3"/>
      <c r="B137" s="3"/>
      <c r="C137" s="3">
        <f t="shared" si="6"/>
        <v>0</v>
      </c>
      <c r="D137" s="7"/>
      <c r="E137" s="8"/>
      <c r="F137" s="7"/>
      <c r="I137" s="7">
        <v>14</v>
      </c>
      <c r="J137" s="73">
        <v>45628</v>
      </c>
      <c r="K137" s="234">
        <v>800000</v>
      </c>
      <c r="L137" s="72" t="s">
        <v>322</v>
      </c>
      <c r="M137" s="146"/>
    </row>
    <row r="138" spans="1:15" ht="15.6" x14ac:dyDescent="0.3">
      <c r="A138" s="3"/>
      <c r="B138" s="3"/>
      <c r="C138" s="3">
        <f t="shared" si="6"/>
        <v>0</v>
      </c>
      <c r="D138" s="7"/>
      <c r="E138" s="8"/>
      <c r="F138" s="7"/>
      <c r="I138" s="7"/>
      <c r="J138" s="73" t="s">
        <v>29</v>
      </c>
      <c r="K138" s="234">
        <v>500000</v>
      </c>
      <c r="L138" s="72" t="s">
        <v>28</v>
      </c>
      <c r="M138" s="146"/>
    </row>
    <row r="139" spans="1:15" ht="15.6" x14ac:dyDescent="0.3">
      <c r="A139" s="3"/>
      <c r="B139" s="3"/>
      <c r="C139" s="3">
        <f t="shared" si="6"/>
        <v>0</v>
      </c>
      <c r="D139" s="7"/>
      <c r="E139" s="8"/>
      <c r="F139" s="7"/>
      <c r="I139" s="7">
        <v>15</v>
      </c>
      <c r="J139" s="52">
        <v>45714</v>
      </c>
      <c r="K139" s="230">
        <v>1000000</v>
      </c>
      <c r="L139" s="136" t="s">
        <v>323</v>
      </c>
      <c r="M139" s="146"/>
    </row>
    <row r="140" spans="1:15" ht="15.6" x14ac:dyDescent="0.3">
      <c r="A140" s="3"/>
      <c r="B140" s="3"/>
      <c r="C140" s="3">
        <f t="shared" si="6"/>
        <v>0</v>
      </c>
      <c r="D140" s="7"/>
      <c r="E140" s="8"/>
      <c r="F140" s="7"/>
      <c r="I140" s="7">
        <v>16</v>
      </c>
      <c r="J140" s="150"/>
      <c r="K140" s="120"/>
      <c r="L140" s="136"/>
      <c r="M140" s="146"/>
    </row>
    <row r="141" spans="1:15" ht="15.6" x14ac:dyDescent="0.3">
      <c r="A141" s="3"/>
      <c r="B141" s="3"/>
      <c r="C141" s="3">
        <f t="shared" si="6"/>
        <v>0</v>
      </c>
      <c r="D141" s="7"/>
      <c r="E141" s="8"/>
      <c r="F141" s="7"/>
      <c r="I141" s="7">
        <v>17</v>
      </c>
      <c r="J141" s="90"/>
      <c r="K141" s="7"/>
      <c r="L141" s="57"/>
      <c r="M141" s="146"/>
    </row>
    <row r="142" spans="1:15" ht="15.6" x14ac:dyDescent="0.3">
      <c r="A142" s="3"/>
      <c r="B142" s="3"/>
      <c r="C142" s="3">
        <f t="shared" si="6"/>
        <v>0</v>
      </c>
      <c r="D142" s="7"/>
      <c r="E142" s="8"/>
      <c r="F142" s="7"/>
      <c r="I142" s="7">
        <v>18</v>
      </c>
      <c r="J142" s="90"/>
      <c r="K142" s="7"/>
      <c r="L142" s="57"/>
      <c r="M142" s="146"/>
    </row>
    <row r="143" spans="1:15" ht="15.6" x14ac:dyDescent="0.3">
      <c r="A143" s="3"/>
      <c r="B143" s="3"/>
      <c r="C143" s="3">
        <f t="shared" si="6"/>
        <v>0</v>
      </c>
      <c r="D143" s="7"/>
      <c r="E143" s="8"/>
      <c r="F143" s="7"/>
      <c r="I143" s="7">
        <v>19</v>
      </c>
      <c r="J143" s="90"/>
      <c r="K143" s="7"/>
      <c r="L143" s="57"/>
      <c r="M143" s="146"/>
    </row>
    <row r="144" spans="1:15" ht="15.6" x14ac:dyDescent="0.3">
      <c r="A144" s="3"/>
      <c r="B144" s="3"/>
      <c r="C144" s="3">
        <f t="shared" si="6"/>
        <v>0</v>
      </c>
      <c r="D144" s="7"/>
      <c r="E144" s="8"/>
      <c r="F144" s="7"/>
      <c r="I144" s="7">
        <v>20</v>
      </c>
      <c r="J144" s="90"/>
      <c r="K144" s="7"/>
      <c r="L144" s="57"/>
      <c r="M144" s="146"/>
    </row>
    <row r="145" spans="1:13" ht="15.6" x14ac:dyDescent="0.3">
      <c r="A145" s="3"/>
      <c r="B145" s="3"/>
      <c r="C145" s="3">
        <f t="shared" si="6"/>
        <v>0</v>
      </c>
      <c r="D145" s="7"/>
      <c r="E145" s="8"/>
      <c r="F145" s="7"/>
      <c r="I145" s="7"/>
      <c r="J145" s="90"/>
      <c r="K145" s="7"/>
      <c r="L145" s="57"/>
      <c r="M145" s="146"/>
    </row>
    <row r="146" spans="1:13" ht="18" x14ac:dyDescent="0.3">
      <c r="A146" s="3"/>
      <c r="B146" s="3"/>
      <c r="C146" s="3">
        <f t="shared" si="6"/>
        <v>0</v>
      </c>
      <c r="D146" s="7"/>
      <c r="E146" s="8"/>
      <c r="F146" s="7"/>
      <c r="I146" s="151"/>
      <c r="J146" s="152"/>
      <c r="K146" s="153"/>
      <c r="L146" s="241"/>
      <c r="M146" s="146"/>
    </row>
    <row r="147" spans="1:13" ht="18" x14ac:dyDescent="0.3">
      <c r="A147" s="3"/>
      <c r="B147" s="3"/>
      <c r="C147" s="3">
        <f t="shared" si="6"/>
        <v>0</v>
      </c>
      <c r="D147" s="7"/>
      <c r="E147" s="8"/>
      <c r="F147" s="7"/>
      <c r="I147" s="295" t="s">
        <v>348</v>
      </c>
      <c r="J147" s="295"/>
      <c r="K147" s="143">
        <f>SUM(K124:K146)</f>
        <v>5120000</v>
      </c>
      <c r="L147" s="240"/>
      <c r="M147" s="154"/>
    </row>
    <row r="148" spans="1:13" ht="15.6" x14ac:dyDescent="0.3">
      <c r="A148" s="3"/>
      <c r="B148" s="3"/>
      <c r="C148" s="3">
        <f t="shared" si="6"/>
        <v>0</v>
      </c>
      <c r="D148" s="7"/>
      <c r="E148" s="8"/>
      <c r="F148" s="7"/>
    </row>
    <row r="149" spans="1:13" ht="15.6" x14ac:dyDescent="0.3">
      <c r="A149" s="3"/>
      <c r="B149" s="3"/>
      <c r="C149" s="3">
        <f t="shared" si="6"/>
        <v>0</v>
      </c>
      <c r="D149" s="7"/>
      <c r="E149" s="8"/>
      <c r="F149" s="7"/>
    </row>
    <row r="150" spans="1:13" ht="15.6" x14ac:dyDescent="0.3">
      <c r="A150" s="3"/>
      <c r="B150" s="3"/>
      <c r="C150" s="3">
        <f t="shared" si="6"/>
        <v>0</v>
      </c>
      <c r="D150" s="7"/>
      <c r="E150" s="8"/>
      <c r="F150" s="7"/>
    </row>
    <row r="151" spans="1:13" ht="15.6" x14ac:dyDescent="0.3">
      <c r="A151" s="3"/>
      <c r="B151" s="3"/>
      <c r="C151" s="3">
        <f t="shared" si="6"/>
        <v>0</v>
      </c>
      <c r="D151" s="7"/>
      <c r="E151" s="8"/>
      <c r="F151" s="7"/>
    </row>
    <row r="152" spans="1:13" ht="15.6" x14ac:dyDescent="0.3">
      <c r="A152" s="3"/>
      <c r="B152" s="3"/>
      <c r="C152" s="3">
        <f t="shared" si="6"/>
        <v>0</v>
      </c>
      <c r="D152" s="7"/>
      <c r="E152" s="8"/>
      <c r="F152" s="7"/>
    </row>
    <row r="153" spans="1:13" ht="15.6" x14ac:dyDescent="0.3">
      <c r="A153" s="3"/>
      <c r="B153" s="3"/>
      <c r="C153" s="3">
        <f t="shared" si="6"/>
        <v>0</v>
      </c>
      <c r="D153" s="7"/>
      <c r="E153" s="8"/>
      <c r="F153" s="7"/>
    </row>
    <row r="154" spans="1:13" ht="15.6" x14ac:dyDescent="0.3">
      <c r="A154" s="7"/>
      <c r="B154" s="7"/>
      <c r="C154" s="7"/>
      <c r="D154" s="7"/>
      <c r="E154" s="8"/>
      <c r="F154" s="7"/>
    </row>
    <row r="155" spans="1:13" ht="15.6" x14ac:dyDescent="0.3">
      <c r="A155" s="7"/>
      <c r="B155" s="7"/>
      <c r="C155" s="7"/>
      <c r="D155" s="7"/>
      <c r="E155" s="8"/>
      <c r="F155" s="7"/>
    </row>
    <row r="156" spans="1:13" ht="15.6" x14ac:dyDescent="0.3">
      <c r="A156" s="7"/>
      <c r="B156" s="7"/>
      <c r="C156" s="7">
        <f>IF(A156&gt;0,C153+A156-B156,C153-B156)</f>
        <v>0</v>
      </c>
      <c r="D156" s="7"/>
      <c r="E156" s="8"/>
      <c r="F156" s="7"/>
    </row>
  </sheetData>
  <mergeCells count="10">
    <mergeCell ref="I119:L119"/>
    <mergeCell ref="I121:J121"/>
    <mergeCell ref="K121:L121"/>
    <mergeCell ref="I147:J147"/>
    <mergeCell ref="L28:N28"/>
    <mergeCell ref="L6:M6"/>
    <mergeCell ref="N14:N25"/>
    <mergeCell ref="K60:L60"/>
    <mergeCell ref="L61:M61"/>
    <mergeCell ref="L89:M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56"/>
  <sheetViews>
    <sheetView rightToLeft="1" zoomScaleNormal="100" zoomScaleSheetLayoutView="55" workbookViewId="0">
      <pane ySplit="4" topLeftCell="A15" activePane="bottomLeft" state="frozen"/>
      <selection pane="bottomLeft" activeCell="C27" sqref="C27"/>
    </sheetView>
  </sheetViews>
  <sheetFormatPr defaultColWidth="9" defaultRowHeight="14.4" x14ac:dyDescent="0.3"/>
  <cols>
    <col min="1" max="1" width="14.88671875" customWidth="1"/>
    <col min="2" max="2" width="12.44140625" bestFit="1" customWidth="1"/>
    <col min="3" max="3" width="14.44140625" customWidth="1"/>
    <col min="4" max="4" width="36.5546875" customWidth="1"/>
    <col min="5" max="5" width="12.5546875" bestFit="1" customWidth="1"/>
    <col min="6" max="6" width="28.33203125" customWidth="1"/>
    <col min="9" max="9" width="6.109375" customWidth="1"/>
    <col min="10" max="10" width="12.109375" bestFit="1" customWidth="1"/>
    <col min="12" max="12" width="18.88671875" bestFit="1" customWidth="1"/>
    <col min="13" max="13" width="16.33203125" bestFit="1" customWidth="1"/>
    <col min="14" max="14" width="9.109375" bestFit="1" customWidth="1"/>
    <col min="15" max="15" width="28.44140625" bestFit="1" customWidth="1"/>
  </cols>
  <sheetData>
    <row r="1" spans="1:15" ht="15.6" x14ac:dyDescent="0.3">
      <c r="A1" s="1"/>
      <c r="B1" s="1"/>
      <c r="C1" s="1"/>
      <c r="D1" s="1"/>
      <c r="E1" s="2"/>
      <c r="F1" s="1"/>
    </row>
    <row r="2" spans="1:15" ht="21" customHeight="1" x14ac:dyDescent="0.3">
      <c r="A2" s="3">
        <f>SUBTOTAL(9,A5:A156)</f>
        <v>17950000</v>
      </c>
      <c r="B2" s="3">
        <f>SUBTOTAL(9,B5:B156)</f>
        <v>20100000</v>
      </c>
      <c r="C2" s="3">
        <f>A2-B2</f>
        <v>-2150000</v>
      </c>
      <c r="D2" s="1"/>
      <c r="E2" s="2"/>
      <c r="F2" s="1"/>
      <c r="I2" s="1"/>
      <c r="J2" s="1"/>
      <c r="K2" s="1"/>
      <c r="L2" s="79"/>
      <c r="M2" s="277"/>
      <c r="N2" s="277"/>
      <c r="O2" s="1"/>
    </row>
    <row r="3" spans="1:15" ht="29.25" customHeight="1" x14ac:dyDescent="0.3">
      <c r="A3" s="289" t="s">
        <v>137</v>
      </c>
      <c r="B3" s="299"/>
      <c r="C3" s="290"/>
      <c r="D3" s="5" t="s">
        <v>1</v>
      </c>
      <c r="E3" s="6"/>
      <c r="F3" s="6"/>
      <c r="I3" s="206"/>
      <c r="J3" s="206"/>
      <c r="K3" s="1"/>
      <c r="L3" s="206"/>
      <c r="M3" s="300"/>
      <c r="N3" s="300"/>
      <c r="O3" s="206"/>
    </row>
    <row r="4" spans="1:15" ht="26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  <c r="I4" s="1"/>
      <c r="J4" s="1"/>
      <c r="K4" s="1"/>
      <c r="L4" s="79"/>
      <c r="M4" s="79"/>
      <c r="N4" s="1"/>
      <c r="O4" s="1"/>
    </row>
    <row r="5" spans="1:15" ht="0.75" customHeight="1" x14ac:dyDescent="0.3">
      <c r="A5" s="7"/>
      <c r="B5" s="7"/>
      <c r="C5" s="7">
        <v>0</v>
      </c>
      <c r="D5" s="7"/>
      <c r="E5" s="8"/>
      <c r="F5" s="7"/>
      <c r="I5" s="1"/>
      <c r="J5" s="2"/>
      <c r="K5" s="2"/>
      <c r="L5" s="79"/>
      <c r="M5" s="79"/>
      <c r="N5" s="1"/>
      <c r="O5" s="1"/>
    </row>
    <row r="6" spans="1:15" ht="21.75" customHeight="1" x14ac:dyDescent="0.3">
      <c r="A6" s="3"/>
      <c r="B6" s="3">
        <v>4000000</v>
      </c>
      <c r="C6" s="3">
        <f>IF(A6&gt;0,C5+A6-B6,C5-B6)</f>
        <v>-4000000</v>
      </c>
      <c r="D6" s="57" t="s">
        <v>138</v>
      </c>
      <c r="E6" s="8" t="s">
        <v>139</v>
      </c>
      <c r="F6" s="58"/>
      <c r="I6" s="112"/>
      <c r="J6" s="6"/>
      <c r="K6" s="5" t="s">
        <v>37</v>
      </c>
      <c r="L6" s="6" t="s">
        <v>156</v>
      </c>
      <c r="M6" s="272" t="s">
        <v>157</v>
      </c>
      <c r="N6" s="272"/>
      <c r="O6" s="6" t="s">
        <v>158</v>
      </c>
    </row>
    <row r="7" spans="1:15" ht="19.5" customHeight="1" x14ac:dyDescent="0.3">
      <c r="A7" s="3"/>
      <c r="B7" s="3">
        <v>5500000</v>
      </c>
      <c r="C7" s="3">
        <f t="shared" ref="C7:C70" si="0">IF(A7&gt;0,C6+A7-B7,C6-B7)</f>
        <v>-9500000</v>
      </c>
      <c r="D7" s="57" t="s">
        <v>140</v>
      </c>
      <c r="E7" s="8" t="s">
        <v>141</v>
      </c>
      <c r="F7" s="58"/>
      <c r="I7" s="7" t="s">
        <v>40</v>
      </c>
      <c r="J7" s="7" t="s">
        <v>6</v>
      </c>
      <c r="K7" s="7" t="s">
        <v>5</v>
      </c>
      <c r="L7" s="41" t="s">
        <v>41</v>
      </c>
      <c r="M7" s="41" t="s">
        <v>42</v>
      </c>
      <c r="N7" s="7" t="s">
        <v>43</v>
      </c>
      <c r="O7" s="7" t="s">
        <v>7</v>
      </c>
    </row>
    <row r="8" spans="1:15" ht="14.25" customHeight="1" x14ac:dyDescent="0.3">
      <c r="A8" s="3"/>
      <c r="B8" s="3">
        <v>7000000</v>
      </c>
      <c r="C8" s="3">
        <f t="shared" si="0"/>
        <v>-16500000</v>
      </c>
      <c r="D8" s="57" t="s">
        <v>142</v>
      </c>
      <c r="E8" s="8" t="s">
        <v>143</v>
      </c>
      <c r="F8" s="113"/>
      <c r="I8" s="7"/>
      <c r="J8" s="8"/>
      <c r="K8" s="8"/>
      <c r="L8" s="102">
        <f>20*200000</f>
        <v>4000000</v>
      </c>
      <c r="M8" s="41"/>
      <c r="N8" s="7">
        <f>L8-M8</f>
        <v>4000000</v>
      </c>
      <c r="O8" s="7" t="s">
        <v>159</v>
      </c>
    </row>
    <row r="9" spans="1:15" ht="15.6" x14ac:dyDescent="0.3">
      <c r="A9" s="93">
        <v>500000</v>
      </c>
      <c r="B9" s="3"/>
      <c r="C9" s="3">
        <f t="shared" si="0"/>
        <v>-16000000</v>
      </c>
      <c r="D9" s="69" t="s">
        <v>146</v>
      </c>
      <c r="E9" s="94">
        <v>45474</v>
      </c>
      <c r="F9" s="58"/>
      <c r="I9" s="7">
        <v>1</v>
      </c>
      <c r="J9" s="103">
        <v>45493</v>
      </c>
      <c r="K9" s="103"/>
      <c r="L9" s="41"/>
      <c r="M9" s="104">
        <v>200000</v>
      </c>
      <c r="N9" s="7">
        <f>N8-M9</f>
        <v>3800000</v>
      </c>
      <c r="O9" s="52">
        <v>45501</v>
      </c>
    </row>
    <row r="10" spans="1:15" ht="15.6" x14ac:dyDescent="0.3">
      <c r="A10" s="95">
        <v>200000</v>
      </c>
      <c r="B10" s="3"/>
      <c r="C10" s="3">
        <f t="shared" si="0"/>
        <v>-15800000</v>
      </c>
      <c r="D10" s="96" t="s">
        <v>147</v>
      </c>
      <c r="E10" s="97">
        <v>45501</v>
      </c>
      <c r="F10" s="58"/>
      <c r="I10" s="7">
        <v>2</v>
      </c>
      <c r="J10" s="8">
        <v>45524</v>
      </c>
      <c r="K10" s="8"/>
      <c r="L10" s="41"/>
      <c r="M10" s="105">
        <v>200000</v>
      </c>
      <c r="N10" s="51">
        <f t="shared" ref="N10:N31" si="1">N9-M10</f>
        <v>3600000</v>
      </c>
      <c r="O10" s="106">
        <v>45533</v>
      </c>
    </row>
    <row r="11" spans="1:15" ht="15.6" x14ac:dyDescent="0.3">
      <c r="A11" s="95">
        <v>500000</v>
      </c>
      <c r="B11" s="3"/>
      <c r="C11" s="3">
        <f t="shared" si="0"/>
        <v>-15300000</v>
      </c>
      <c r="D11" s="81" t="s">
        <v>148</v>
      </c>
      <c r="E11" s="70">
        <v>45533</v>
      </c>
      <c r="F11" s="58"/>
      <c r="I11" s="7">
        <v>3</v>
      </c>
      <c r="J11" s="103">
        <v>45555</v>
      </c>
      <c r="K11" s="8"/>
      <c r="L11" s="41"/>
      <c r="M11" s="104">
        <v>200000</v>
      </c>
      <c r="N11" s="7">
        <f t="shared" si="1"/>
        <v>3400000</v>
      </c>
      <c r="O11" s="52">
        <v>45564</v>
      </c>
    </row>
    <row r="12" spans="1:15" ht="15.6" x14ac:dyDescent="0.3">
      <c r="A12" s="95">
        <v>500000</v>
      </c>
      <c r="B12" s="3"/>
      <c r="C12" s="3">
        <f t="shared" si="0"/>
        <v>-14800000</v>
      </c>
      <c r="D12" s="81" t="s">
        <v>149</v>
      </c>
      <c r="E12" s="70">
        <v>45564</v>
      </c>
      <c r="F12" s="58"/>
      <c r="I12" s="7">
        <v>4</v>
      </c>
      <c r="J12" s="8">
        <v>45585</v>
      </c>
      <c r="K12" s="8"/>
      <c r="L12" s="41"/>
      <c r="M12" s="108">
        <v>200000</v>
      </c>
      <c r="N12" s="7">
        <f t="shared" si="1"/>
        <v>3200000</v>
      </c>
      <c r="O12" s="7" t="s">
        <v>136</v>
      </c>
    </row>
    <row r="13" spans="1:15" ht="15.6" x14ac:dyDescent="0.3">
      <c r="A13" s="98">
        <v>1000000</v>
      </c>
      <c r="B13" s="3"/>
      <c r="C13" s="3">
        <f t="shared" si="0"/>
        <v>-13800000</v>
      </c>
      <c r="D13" s="99" t="s">
        <v>150</v>
      </c>
      <c r="E13" s="73">
        <v>45628</v>
      </c>
      <c r="F13" s="58"/>
      <c r="I13" s="7">
        <v>5</v>
      </c>
      <c r="J13" s="103">
        <v>45616</v>
      </c>
      <c r="K13" s="8"/>
      <c r="L13" s="41"/>
      <c r="M13" s="108">
        <v>200000</v>
      </c>
      <c r="N13" s="7">
        <f t="shared" si="1"/>
        <v>3000000</v>
      </c>
      <c r="O13" s="7" t="s">
        <v>136</v>
      </c>
    </row>
    <row r="14" spans="1:15" ht="15.6" x14ac:dyDescent="0.3">
      <c r="A14" s="124">
        <v>1500000</v>
      </c>
      <c r="B14" s="59"/>
      <c r="C14" s="59">
        <f t="shared" si="0"/>
        <v>-12300000</v>
      </c>
      <c r="D14" s="125" t="s">
        <v>150</v>
      </c>
      <c r="E14" s="166">
        <v>45714</v>
      </c>
      <c r="F14" s="296" t="s">
        <v>374</v>
      </c>
      <c r="I14" s="7">
        <v>6</v>
      </c>
      <c r="J14" s="8">
        <v>45646</v>
      </c>
      <c r="K14" s="8"/>
      <c r="L14" s="41"/>
      <c r="M14" s="108">
        <v>200000</v>
      </c>
      <c r="N14" s="7">
        <f t="shared" si="1"/>
        <v>2800000</v>
      </c>
      <c r="O14" s="7" t="s">
        <v>136</v>
      </c>
    </row>
    <row r="15" spans="1:15" ht="15.6" x14ac:dyDescent="0.3">
      <c r="A15" s="124">
        <v>400000</v>
      </c>
      <c r="B15" s="59"/>
      <c r="C15" s="59">
        <f t="shared" si="0"/>
        <v>-11900000</v>
      </c>
      <c r="D15" s="61" t="s">
        <v>151</v>
      </c>
      <c r="E15" s="167" t="s">
        <v>152</v>
      </c>
      <c r="F15" s="297"/>
      <c r="I15" s="7">
        <v>7</v>
      </c>
      <c r="J15" s="103">
        <v>45677</v>
      </c>
      <c r="K15" s="8"/>
      <c r="L15" s="41"/>
      <c r="M15" s="104">
        <v>200000</v>
      </c>
      <c r="N15" s="7">
        <f t="shared" si="1"/>
        <v>2600000</v>
      </c>
      <c r="O15" s="7"/>
    </row>
    <row r="16" spans="1:15" ht="15.6" x14ac:dyDescent="0.3">
      <c r="A16" s="168">
        <v>250000</v>
      </c>
      <c r="B16" s="59"/>
      <c r="C16" s="59">
        <f t="shared" si="0"/>
        <v>-11650000</v>
      </c>
      <c r="D16" s="169" t="s">
        <v>153</v>
      </c>
      <c r="E16" s="167" t="s">
        <v>152</v>
      </c>
      <c r="F16" s="298"/>
      <c r="I16" s="7">
        <v>8</v>
      </c>
      <c r="J16" s="8">
        <v>45708</v>
      </c>
      <c r="K16" s="8"/>
      <c r="L16" s="41"/>
      <c r="M16" s="104">
        <v>200000</v>
      </c>
      <c r="N16" s="7">
        <f t="shared" si="1"/>
        <v>2400000</v>
      </c>
      <c r="O16" s="7"/>
    </row>
    <row r="17" spans="1:15" ht="15.6" x14ac:dyDescent="0.3">
      <c r="A17" s="3">
        <v>650000</v>
      </c>
      <c r="B17" s="3"/>
      <c r="C17" s="3">
        <f t="shared" si="0"/>
        <v>-11000000</v>
      </c>
      <c r="D17" s="78" t="s">
        <v>28</v>
      </c>
      <c r="E17" s="8">
        <v>45842</v>
      </c>
      <c r="F17" s="58"/>
      <c r="I17" s="7">
        <v>9</v>
      </c>
      <c r="J17" s="103">
        <v>45736</v>
      </c>
      <c r="K17" s="8"/>
      <c r="L17" s="41"/>
      <c r="M17" s="104">
        <v>200000</v>
      </c>
      <c r="N17" s="7">
        <f t="shared" si="1"/>
        <v>2200000</v>
      </c>
      <c r="O17" s="7"/>
    </row>
    <row r="18" spans="1:15" ht="15.6" x14ac:dyDescent="0.3">
      <c r="A18" s="3">
        <v>1400000</v>
      </c>
      <c r="B18" s="3"/>
      <c r="C18" s="3">
        <f t="shared" si="0"/>
        <v>-9600000</v>
      </c>
      <c r="D18" s="78" t="s">
        <v>28</v>
      </c>
      <c r="E18" s="8">
        <v>45722</v>
      </c>
      <c r="F18" s="58"/>
      <c r="I18" s="7">
        <v>10</v>
      </c>
      <c r="J18" s="8">
        <v>45767</v>
      </c>
      <c r="K18" s="8"/>
      <c r="L18" s="41"/>
      <c r="M18" s="104">
        <v>200000</v>
      </c>
      <c r="N18" s="7">
        <f t="shared" si="1"/>
        <v>2000000</v>
      </c>
      <c r="O18" s="7"/>
    </row>
    <row r="19" spans="1:15" ht="15.6" x14ac:dyDescent="0.3">
      <c r="A19" s="3">
        <v>1400000</v>
      </c>
      <c r="B19" s="3"/>
      <c r="C19" s="3">
        <f t="shared" si="0"/>
        <v>-8200000</v>
      </c>
      <c r="D19" s="78" t="s">
        <v>28</v>
      </c>
      <c r="E19" s="8">
        <v>45909</v>
      </c>
      <c r="F19" s="58"/>
      <c r="I19" s="7">
        <v>11</v>
      </c>
      <c r="J19" s="103">
        <v>45797</v>
      </c>
      <c r="K19" s="8"/>
      <c r="L19" s="41"/>
      <c r="M19" s="104">
        <v>200000</v>
      </c>
      <c r="N19" s="7">
        <f t="shared" si="1"/>
        <v>1800000</v>
      </c>
      <c r="O19" s="7"/>
    </row>
    <row r="20" spans="1:15" ht="15.6" x14ac:dyDescent="0.3">
      <c r="A20" s="98">
        <v>1000000</v>
      </c>
      <c r="B20" s="3"/>
      <c r="C20" s="3">
        <f t="shared" si="0"/>
        <v>-7200000</v>
      </c>
      <c r="D20" s="78" t="s">
        <v>28</v>
      </c>
      <c r="E20" s="8">
        <v>45880</v>
      </c>
      <c r="F20" s="58"/>
      <c r="I20" s="7">
        <v>12</v>
      </c>
      <c r="J20" s="8">
        <v>45828</v>
      </c>
      <c r="K20" s="8"/>
      <c r="L20" s="41"/>
      <c r="M20" s="104">
        <v>200000</v>
      </c>
      <c r="N20" s="7">
        <f t="shared" si="1"/>
        <v>1600000</v>
      </c>
      <c r="O20" s="7"/>
    </row>
    <row r="21" spans="1:15" ht="15.6" x14ac:dyDescent="0.3">
      <c r="A21" s="98"/>
      <c r="B21" s="3">
        <v>1800000</v>
      </c>
      <c r="C21" s="3">
        <f t="shared" si="0"/>
        <v>-9000000</v>
      </c>
      <c r="D21" s="57" t="s">
        <v>144</v>
      </c>
      <c r="E21" s="50" t="s">
        <v>373</v>
      </c>
      <c r="F21" s="58"/>
      <c r="I21" s="7">
        <v>13</v>
      </c>
      <c r="J21" s="103">
        <v>45858</v>
      </c>
      <c r="K21" s="8"/>
      <c r="L21" s="41"/>
      <c r="M21" s="104">
        <v>200000</v>
      </c>
      <c r="N21" s="7">
        <f t="shared" si="1"/>
        <v>1400000</v>
      </c>
      <c r="O21" s="7"/>
    </row>
    <row r="22" spans="1:15" ht="15.6" x14ac:dyDescent="0.3">
      <c r="A22" s="98"/>
      <c r="B22" s="3">
        <v>1800000</v>
      </c>
      <c r="C22" s="3">
        <f t="shared" si="0"/>
        <v>-10800000</v>
      </c>
      <c r="D22" s="57" t="s">
        <v>145</v>
      </c>
      <c r="E22" s="8">
        <v>46023</v>
      </c>
      <c r="F22" s="58"/>
      <c r="I22" s="7">
        <v>14</v>
      </c>
      <c r="J22" s="8">
        <v>45889</v>
      </c>
      <c r="K22" s="8"/>
      <c r="L22" s="41"/>
      <c r="M22" s="104">
        <v>200000</v>
      </c>
      <c r="N22" s="7">
        <f t="shared" si="1"/>
        <v>1200000</v>
      </c>
      <c r="O22" s="7"/>
    </row>
    <row r="23" spans="1:15" ht="15.6" x14ac:dyDescent="0.3">
      <c r="A23" s="3">
        <v>2200000</v>
      </c>
      <c r="B23" s="3"/>
      <c r="C23" s="3">
        <f t="shared" si="0"/>
        <v>-8600000</v>
      </c>
      <c r="D23" s="78" t="s">
        <v>154</v>
      </c>
      <c r="E23" s="8" t="s">
        <v>155</v>
      </c>
      <c r="F23" s="58"/>
      <c r="I23" s="7">
        <v>15</v>
      </c>
      <c r="J23" s="103">
        <v>45920</v>
      </c>
      <c r="K23" s="8"/>
      <c r="L23" s="41"/>
      <c r="M23" s="104">
        <v>200000</v>
      </c>
      <c r="N23" s="7">
        <f t="shared" si="1"/>
        <v>1000000</v>
      </c>
      <c r="O23" s="7"/>
    </row>
    <row r="24" spans="1:15" ht="15.6" x14ac:dyDescent="0.3">
      <c r="A24" s="3">
        <v>2200000</v>
      </c>
      <c r="B24" s="3"/>
      <c r="C24" s="3">
        <f t="shared" si="0"/>
        <v>-6400000</v>
      </c>
      <c r="D24" s="78" t="s">
        <v>28</v>
      </c>
      <c r="E24" s="8" t="s">
        <v>488</v>
      </c>
      <c r="F24" s="58"/>
      <c r="I24" s="7">
        <v>16</v>
      </c>
      <c r="J24" s="8">
        <v>45950</v>
      </c>
      <c r="K24" s="8"/>
      <c r="L24" s="41"/>
      <c r="M24" s="104">
        <v>200000</v>
      </c>
      <c r="N24" s="7">
        <f t="shared" si="1"/>
        <v>800000</v>
      </c>
      <c r="O24" s="7"/>
    </row>
    <row r="25" spans="1:15" ht="15.6" x14ac:dyDescent="0.3">
      <c r="A25" s="3">
        <v>4000000</v>
      </c>
      <c r="B25" s="3"/>
      <c r="C25" s="3">
        <f t="shared" si="0"/>
        <v>-2400000</v>
      </c>
      <c r="D25" s="78" t="s">
        <v>572</v>
      </c>
      <c r="E25" s="8">
        <v>46291</v>
      </c>
      <c r="F25" s="58"/>
      <c r="I25" s="7">
        <v>17</v>
      </c>
      <c r="J25" s="103">
        <v>45981</v>
      </c>
      <c r="K25" s="8"/>
      <c r="L25" s="41"/>
      <c r="M25" s="104">
        <v>200000</v>
      </c>
      <c r="N25" s="7">
        <f t="shared" si="1"/>
        <v>600000</v>
      </c>
      <c r="O25" s="7"/>
    </row>
    <row r="26" spans="1:15" ht="15.6" x14ac:dyDescent="0.3">
      <c r="A26" s="3">
        <v>150000</v>
      </c>
      <c r="B26" s="3"/>
      <c r="C26" s="3">
        <f t="shared" si="0"/>
        <v>-2250000</v>
      </c>
      <c r="D26" s="78" t="s">
        <v>589</v>
      </c>
      <c r="E26" s="8">
        <v>46296</v>
      </c>
      <c r="F26" s="58"/>
      <c r="I26" s="7">
        <v>18</v>
      </c>
      <c r="J26" s="8">
        <v>46011</v>
      </c>
      <c r="K26" s="8"/>
      <c r="L26" s="41"/>
      <c r="M26" s="104">
        <v>200000</v>
      </c>
      <c r="N26" s="7">
        <f t="shared" si="1"/>
        <v>400000</v>
      </c>
      <c r="O26" s="7"/>
    </row>
    <row r="27" spans="1:15" ht="15.6" x14ac:dyDescent="0.3">
      <c r="A27" s="3"/>
      <c r="B27" s="3"/>
      <c r="C27" s="3">
        <f t="shared" si="0"/>
        <v>-2250000</v>
      </c>
      <c r="D27" s="57"/>
      <c r="E27" s="8"/>
      <c r="F27" s="58"/>
      <c r="I27" s="7">
        <v>19</v>
      </c>
      <c r="J27" s="103">
        <v>46042</v>
      </c>
      <c r="K27" s="8"/>
      <c r="L27" s="41"/>
      <c r="M27" s="104">
        <v>200000</v>
      </c>
      <c r="N27" s="7">
        <f t="shared" si="1"/>
        <v>200000</v>
      </c>
      <c r="O27" s="7"/>
    </row>
    <row r="28" spans="1:15" ht="15.6" x14ac:dyDescent="0.3">
      <c r="A28" s="3"/>
      <c r="B28" s="3"/>
      <c r="C28" s="3">
        <f t="shared" si="0"/>
        <v>-2250000</v>
      </c>
      <c r="D28" s="57"/>
      <c r="E28" s="8"/>
      <c r="F28" s="58"/>
      <c r="I28" s="7">
        <v>20</v>
      </c>
      <c r="J28" s="8">
        <v>46073</v>
      </c>
      <c r="K28" s="8"/>
      <c r="L28" s="41"/>
      <c r="M28" s="104">
        <v>200000</v>
      </c>
      <c r="N28" s="7">
        <f t="shared" si="1"/>
        <v>0</v>
      </c>
      <c r="O28" s="7"/>
    </row>
    <row r="29" spans="1:15" ht="15.6" x14ac:dyDescent="0.3">
      <c r="A29" s="59">
        <v>100000</v>
      </c>
      <c r="B29" s="59"/>
      <c r="C29" s="59">
        <f t="shared" si="0"/>
        <v>-2150000</v>
      </c>
      <c r="D29" s="61" t="s">
        <v>376</v>
      </c>
      <c r="E29" s="8"/>
      <c r="F29" s="58"/>
      <c r="I29" s="7"/>
      <c r="J29" s="103"/>
      <c r="K29" s="8"/>
      <c r="L29" s="41"/>
      <c r="M29" s="104"/>
      <c r="N29" s="7">
        <f t="shared" si="1"/>
        <v>0</v>
      </c>
      <c r="O29" s="7"/>
    </row>
    <row r="30" spans="1:15" ht="15.6" x14ac:dyDescent="0.3">
      <c r="A30" s="3"/>
      <c r="B30" s="3"/>
      <c r="C30" s="3">
        <f t="shared" si="0"/>
        <v>-2150000</v>
      </c>
      <c r="D30" s="57"/>
      <c r="E30" s="8"/>
      <c r="F30" s="58"/>
      <c r="I30" s="7"/>
      <c r="J30" s="8"/>
      <c r="K30" s="8"/>
      <c r="L30" s="41"/>
      <c r="M30" s="104"/>
      <c r="N30" s="7">
        <f t="shared" si="1"/>
        <v>0</v>
      </c>
      <c r="O30" s="7"/>
    </row>
    <row r="31" spans="1:15" ht="15.6" x14ac:dyDescent="0.3">
      <c r="A31" s="3"/>
      <c r="B31" s="3"/>
      <c r="C31" s="3">
        <f t="shared" si="0"/>
        <v>-2150000</v>
      </c>
      <c r="D31" s="7"/>
      <c r="E31" s="8"/>
      <c r="F31" s="58"/>
      <c r="I31" s="7"/>
      <c r="J31" s="8"/>
      <c r="K31" s="8"/>
      <c r="L31" s="41"/>
      <c r="M31" s="41"/>
      <c r="N31" s="7">
        <f t="shared" si="1"/>
        <v>0</v>
      </c>
      <c r="O31" s="7"/>
    </row>
    <row r="32" spans="1:15" ht="15.6" x14ac:dyDescent="0.3">
      <c r="A32" s="3"/>
      <c r="B32" s="3"/>
      <c r="C32" s="3">
        <f t="shared" si="0"/>
        <v>-2150000</v>
      </c>
      <c r="D32" s="7"/>
      <c r="E32" s="8"/>
      <c r="F32" s="58"/>
      <c r="I32" s="1"/>
      <c r="J32" s="2"/>
      <c r="K32" s="2"/>
      <c r="L32" s="79"/>
      <c r="M32" s="79"/>
      <c r="N32" s="1"/>
      <c r="O32" s="1"/>
    </row>
    <row r="33" spans="1:15" ht="15.6" x14ac:dyDescent="0.3">
      <c r="A33" s="3"/>
      <c r="B33" s="3"/>
      <c r="C33" s="3">
        <f t="shared" si="0"/>
        <v>-2150000</v>
      </c>
      <c r="D33" s="7"/>
      <c r="E33" s="8"/>
      <c r="F33" s="58"/>
      <c r="I33" s="1"/>
      <c r="J33" s="2"/>
      <c r="K33" s="2"/>
      <c r="L33" s="79"/>
      <c r="M33" s="79"/>
      <c r="N33" s="1"/>
      <c r="O33" s="1"/>
    </row>
    <row r="34" spans="1:15" ht="15.6" x14ac:dyDescent="0.3">
      <c r="A34" s="3"/>
      <c r="B34" s="3"/>
      <c r="C34" s="3">
        <f t="shared" si="0"/>
        <v>-2150000</v>
      </c>
      <c r="D34" s="7"/>
      <c r="E34" s="8"/>
      <c r="F34" s="58"/>
      <c r="I34" s="1"/>
      <c r="J34" s="2"/>
      <c r="K34" s="2"/>
      <c r="L34" s="79"/>
      <c r="M34" s="79"/>
      <c r="N34" s="1"/>
      <c r="O34" s="1"/>
    </row>
    <row r="35" spans="1:15" ht="15.6" x14ac:dyDescent="0.3">
      <c r="A35" s="3"/>
      <c r="B35" s="3"/>
      <c r="C35" s="3">
        <f t="shared" si="0"/>
        <v>-2150000</v>
      </c>
      <c r="D35" s="7"/>
      <c r="E35" s="8"/>
      <c r="F35" s="58"/>
    </row>
    <row r="36" spans="1:15" ht="15.6" x14ac:dyDescent="0.3">
      <c r="A36" s="3"/>
      <c r="B36" s="3"/>
      <c r="C36" s="3">
        <f t="shared" si="0"/>
        <v>-2150000</v>
      </c>
      <c r="D36" s="7"/>
      <c r="E36" s="8"/>
      <c r="F36" s="58"/>
    </row>
    <row r="37" spans="1:15" ht="15.6" x14ac:dyDescent="0.3">
      <c r="A37" s="3"/>
      <c r="B37" s="3"/>
      <c r="C37" s="3">
        <f t="shared" si="0"/>
        <v>-2150000</v>
      </c>
      <c r="D37" s="7"/>
      <c r="E37" s="8"/>
      <c r="F37" s="58"/>
      <c r="I37" s="1"/>
      <c r="J37" s="1"/>
      <c r="K37" s="1"/>
      <c r="L37" s="79"/>
      <c r="M37" s="277"/>
      <c r="N37" s="277"/>
      <c r="O37" s="1"/>
    </row>
    <row r="38" spans="1:15" ht="15.6" x14ac:dyDescent="0.3">
      <c r="A38" s="3"/>
      <c r="B38" s="3"/>
      <c r="C38" s="3">
        <f t="shared" si="0"/>
        <v>-2150000</v>
      </c>
      <c r="D38" s="7"/>
      <c r="E38" s="8"/>
      <c r="F38" s="58"/>
      <c r="I38" s="100"/>
      <c r="J38" s="6"/>
      <c r="K38" s="5" t="s">
        <v>37</v>
      </c>
      <c r="L38" s="6" t="s">
        <v>160</v>
      </c>
      <c r="M38" s="272" t="s">
        <v>157</v>
      </c>
      <c r="N38" s="272"/>
      <c r="O38" s="6" t="s">
        <v>158</v>
      </c>
    </row>
    <row r="39" spans="1:15" ht="15.6" x14ac:dyDescent="0.3">
      <c r="A39" s="3"/>
      <c r="B39" s="3"/>
      <c r="C39" s="3">
        <f t="shared" si="0"/>
        <v>-2150000</v>
      </c>
      <c r="D39" s="7"/>
      <c r="E39" s="8"/>
      <c r="F39" s="58"/>
      <c r="I39" s="92" t="s">
        <v>40</v>
      </c>
      <c r="J39" s="7" t="s">
        <v>6</v>
      </c>
      <c r="K39" s="7" t="s">
        <v>5</v>
      </c>
      <c r="L39" s="41" t="s">
        <v>41</v>
      </c>
      <c r="M39" s="41" t="s">
        <v>42</v>
      </c>
      <c r="N39" s="7" t="s">
        <v>43</v>
      </c>
      <c r="O39" s="101" t="s">
        <v>7</v>
      </c>
    </row>
    <row r="40" spans="1:15" ht="15.6" x14ac:dyDescent="0.3">
      <c r="A40" s="3"/>
      <c r="B40" s="3"/>
      <c r="C40" s="3">
        <f t="shared" si="0"/>
        <v>-2150000</v>
      </c>
      <c r="D40" s="7"/>
      <c r="E40" s="8"/>
      <c r="F40" s="58"/>
      <c r="I40" s="92"/>
      <c r="J40" s="8"/>
      <c r="K40" s="8"/>
      <c r="L40" s="102">
        <v>5500000</v>
      </c>
      <c r="M40" s="41"/>
      <c r="N40" s="7">
        <f>L40-M40</f>
        <v>5500000</v>
      </c>
      <c r="O40" s="101" t="s">
        <v>161</v>
      </c>
    </row>
    <row r="41" spans="1:15" ht="15.6" x14ac:dyDescent="0.3">
      <c r="A41" s="3"/>
      <c r="B41" s="3"/>
      <c r="C41" s="3">
        <f t="shared" si="0"/>
        <v>-2150000</v>
      </c>
      <c r="D41" s="7"/>
      <c r="E41" s="8"/>
      <c r="F41" s="58"/>
      <c r="I41" s="92"/>
      <c r="J41" s="103"/>
      <c r="K41" s="103"/>
      <c r="L41" s="41"/>
      <c r="M41" s="105">
        <v>500000</v>
      </c>
      <c r="N41" s="7">
        <f>N40-M41</f>
        <v>5000000</v>
      </c>
      <c r="O41" s="7" t="s">
        <v>55</v>
      </c>
    </row>
    <row r="42" spans="1:15" ht="15.6" x14ac:dyDescent="0.3">
      <c r="A42" s="3"/>
      <c r="B42" s="3"/>
      <c r="C42" s="3">
        <f t="shared" si="0"/>
        <v>-2150000</v>
      </c>
      <c r="D42" s="7"/>
      <c r="E42" s="8"/>
      <c r="F42" s="58"/>
      <c r="I42" s="92">
        <v>1</v>
      </c>
      <c r="J42" s="103">
        <v>45519</v>
      </c>
      <c r="K42" s="8"/>
      <c r="L42" s="41"/>
      <c r="M42" s="104">
        <v>300000</v>
      </c>
      <c r="N42" s="7">
        <f t="shared" ref="N42:N58" si="2">N41-M42</f>
        <v>4700000</v>
      </c>
      <c r="O42" s="52">
        <v>45533</v>
      </c>
    </row>
    <row r="43" spans="1:15" ht="15.6" x14ac:dyDescent="0.3">
      <c r="A43" s="3"/>
      <c r="B43" s="3"/>
      <c r="C43" s="3">
        <f t="shared" si="0"/>
        <v>-2150000</v>
      </c>
      <c r="D43" s="7"/>
      <c r="E43" s="8"/>
      <c r="F43" s="58"/>
      <c r="I43" s="92">
        <v>2</v>
      </c>
      <c r="J43" s="8">
        <v>45550</v>
      </c>
      <c r="K43" s="8"/>
      <c r="L43" s="41"/>
      <c r="M43" s="104">
        <v>300000</v>
      </c>
      <c r="N43" s="7">
        <f t="shared" si="2"/>
        <v>4400000</v>
      </c>
      <c r="O43" s="107">
        <v>45564</v>
      </c>
    </row>
    <row r="44" spans="1:15" ht="15.6" x14ac:dyDescent="0.3">
      <c r="A44" s="3"/>
      <c r="B44" s="3"/>
      <c r="C44" s="3">
        <f t="shared" si="0"/>
        <v>-2150000</v>
      </c>
      <c r="D44" s="7"/>
      <c r="E44" s="8"/>
      <c r="F44" s="58"/>
      <c r="I44" s="92">
        <v>3</v>
      </c>
      <c r="J44" s="103">
        <v>45580</v>
      </c>
      <c r="K44" s="8"/>
      <c r="L44" s="41"/>
      <c r="M44" s="108">
        <v>300000</v>
      </c>
      <c r="N44" s="7">
        <f t="shared" si="2"/>
        <v>4100000</v>
      </c>
      <c r="O44" s="101" t="s">
        <v>136</v>
      </c>
    </row>
    <row r="45" spans="1:15" ht="15.6" x14ac:dyDescent="0.3">
      <c r="A45" s="3"/>
      <c r="B45" s="3"/>
      <c r="C45" s="3">
        <f t="shared" si="0"/>
        <v>-2150000</v>
      </c>
      <c r="D45" s="7"/>
      <c r="E45" s="8"/>
      <c r="F45" s="58"/>
      <c r="I45" s="92">
        <v>4</v>
      </c>
      <c r="J45" s="8">
        <v>45611</v>
      </c>
      <c r="K45" s="8"/>
      <c r="L45" s="41"/>
      <c r="M45" s="108">
        <v>300000</v>
      </c>
      <c r="N45" s="7">
        <f t="shared" si="2"/>
        <v>3800000</v>
      </c>
      <c r="O45" s="101" t="s">
        <v>136</v>
      </c>
    </row>
    <row r="46" spans="1:15" ht="15.6" x14ac:dyDescent="0.3">
      <c r="A46" s="3"/>
      <c r="B46" s="3"/>
      <c r="C46" s="3">
        <f t="shared" si="0"/>
        <v>-2150000</v>
      </c>
      <c r="D46" s="7"/>
      <c r="E46" s="8"/>
      <c r="F46" s="58"/>
      <c r="I46" s="92">
        <v>5</v>
      </c>
      <c r="J46" s="103">
        <v>45641</v>
      </c>
      <c r="K46" s="8"/>
      <c r="L46" s="41"/>
      <c r="M46" s="108">
        <v>300000</v>
      </c>
      <c r="N46" s="7">
        <f t="shared" si="2"/>
        <v>3500000</v>
      </c>
      <c r="O46" s="101" t="s">
        <v>136</v>
      </c>
    </row>
    <row r="47" spans="1:15" ht="15.6" x14ac:dyDescent="0.3">
      <c r="A47" s="3"/>
      <c r="B47" s="3"/>
      <c r="C47" s="3">
        <f t="shared" si="0"/>
        <v>-2150000</v>
      </c>
      <c r="D47" s="7"/>
      <c r="E47" s="8"/>
      <c r="F47" s="58"/>
      <c r="I47" s="92">
        <v>6</v>
      </c>
      <c r="J47" s="8">
        <v>45672</v>
      </c>
      <c r="K47" s="8"/>
      <c r="L47" s="41"/>
      <c r="M47" s="104">
        <v>300000</v>
      </c>
      <c r="N47" s="7">
        <f t="shared" si="2"/>
        <v>3200000</v>
      </c>
      <c r="O47" s="101"/>
    </row>
    <row r="48" spans="1:15" ht="15.6" x14ac:dyDescent="0.3">
      <c r="A48" s="3"/>
      <c r="B48" s="3"/>
      <c r="C48" s="3">
        <f t="shared" si="0"/>
        <v>-2150000</v>
      </c>
      <c r="D48" s="7"/>
      <c r="E48" s="8"/>
      <c r="F48" s="58"/>
      <c r="I48" s="92">
        <v>7</v>
      </c>
      <c r="J48" s="103">
        <v>45703</v>
      </c>
      <c r="K48" s="8"/>
      <c r="L48" s="41"/>
      <c r="M48" s="104">
        <v>300000</v>
      </c>
      <c r="N48" s="7">
        <f t="shared" si="2"/>
        <v>2900000</v>
      </c>
      <c r="O48" s="101"/>
    </row>
    <row r="49" spans="1:15" ht="15.6" x14ac:dyDescent="0.3">
      <c r="A49" s="3"/>
      <c r="B49" s="3"/>
      <c r="C49" s="3">
        <f t="shared" si="0"/>
        <v>-2150000</v>
      </c>
      <c r="D49" s="7"/>
      <c r="E49" s="8"/>
      <c r="F49" s="58"/>
      <c r="I49" s="92">
        <v>8</v>
      </c>
      <c r="J49" s="8">
        <v>45731</v>
      </c>
      <c r="K49" s="8"/>
      <c r="L49" s="41"/>
      <c r="M49" s="104">
        <v>300000</v>
      </c>
      <c r="N49" s="7">
        <f t="shared" si="2"/>
        <v>2600000</v>
      </c>
      <c r="O49" s="101"/>
    </row>
    <row r="50" spans="1:15" ht="15.6" x14ac:dyDescent="0.3">
      <c r="A50" s="3"/>
      <c r="B50" s="3"/>
      <c r="C50" s="3">
        <f t="shared" si="0"/>
        <v>-2150000</v>
      </c>
      <c r="D50" s="7"/>
      <c r="E50" s="8"/>
      <c r="F50" s="58"/>
      <c r="I50" s="92">
        <v>9</v>
      </c>
      <c r="J50" s="103">
        <v>45762</v>
      </c>
      <c r="K50" s="8"/>
      <c r="L50" s="41"/>
      <c r="M50" s="104">
        <v>300000</v>
      </c>
      <c r="N50" s="7">
        <f t="shared" si="2"/>
        <v>2300000</v>
      </c>
      <c r="O50" s="101"/>
    </row>
    <row r="51" spans="1:15" ht="15.6" x14ac:dyDescent="0.3">
      <c r="A51" s="3"/>
      <c r="B51" s="3"/>
      <c r="C51" s="3">
        <f t="shared" si="0"/>
        <v>-2150000</v>
      </c>
      <c r="D51" s="7"/>
      <c r="E51" s="8"/>
      <c r="F51" s="58"/>
      <c r="I51" s="92">
        <v>10</v>
      </c>
      <c r="J51" s="8">
        <v>45792</v>
      </c>
      <c r="K51" s="8"/>
      <c r="L51" s="41"/>
      <c r="M51" s="104">
        <v>300000</v>
      </c>
      <c r="N51" s="7">
        <f t="shared" si="2"/>
        <v>2000000</v>
      </c>
      <c r="O51" s="101"/>
    </row>
    <row r="52" spans="1:15" ht="15.6" x14ac:dyDescent="0.3">
      <c r="A52" s="3"/>
      <c r="B52" s="3"/>
      <c r="C52" s="3">
        <f t="shared" si="0"/>
        <v>-2150000</v>
      </c>
      <c r="D52" s="7"/>
      <c r="E52" s="8"/>
      <c r="F52" s="58"/>
      <c r="I52" s="92">
        <v>11</v>
      </c>
      <c r="J52" s="103">
        <v>45823</v>
      </c>
      <c r="K52" s="8"/>
      <c r="L52" s="41"/>
      <c r="M52" s="104">
        <v>300000</v>
      </c>
      <c r="N52" s="7">
        <f t="shared" si="2"/>
        <v>1700000</v>
      </c>
      <c r="O52" s="101"/>
    </row>
    <row r="53" spans="1:15" ht="15.6" x14ac:dyDescent="0.3">
      <c r="A53" s="3"/>
      <c r="B53" s="3"/>
      <c r="C53" s="3">
        <f t="shared" si="0"/>
        <v>-2150000</v>
      </c>
      <c r="D53" s="7"/>
      <c r="E53" s="8"/>
      <c r="F53" s="58"/>
      <c r="I53" s="92">
        <v>12</v>
      </c>
      <c r="J53" s="8">
        <v>45853</v>
      </c>
      <c r="K53" s="109"/>
      <c r="L53" s="110"/>
      <c r="M53" s="104">
        <v>300000</v>
      </c>
      <c r="N53" s="7">
        <f t="shared" si="2"/>
        <v>1400000</v>
      </c>
      <c r="O53" s="111"/>
    </row>
    <row r="54" spans="1:15" ht="15.6" x14ac:dyDescent="0.3">
      <c r="A54" s="3"/>
      <c r="B54" s="3"/>
      <c r="C54" s="3">
        <f t="shared" si="0"/>
        <v>-2150000</v>
      </c>
      <c r="D54" s="7"/>
      <c r="E54" s="8"/>
      <c r="F54" s="58"/>
      <c r="I54" s="92">
        <v>13</v>
      </c>
      <c r="J54" s="103">
        <v>45884</v>
      </c>
      <c r="K54" s="109"/>
      <c r="L54" s="110"/>
      <c r="M54" s="104">
        <v>300000</v>
      </c>
      <c r="N54" s="7">
        <f t="shared" si="2"/>
        <v>1100000</v>
      </c>
      <c r="O54" s="111"/>
    </row>
    <row r="55" spans="1:15" ht="15.6" x14ac:dyDescent="0.3">
      <c r="A55" s="3"/>
      <c r="B55" s="3"/>
      <c r="C55" s="3">
        <f t="shared" si="0"/>
        <v>-2150000</v>
      </c>
      <c r="D55" s="7"/>
      <c r="E55" s="8"/>
      <c r="F55" s="58"/>
      <c r="I55" s="92">
        <v>14</v>
      </c>
      <c r="J55" s="8">
        <v>45915</v>
      </c>
      <c r="K55" s="109"/>
      <c r="L55" s="110"/>
      <c r="M55" s="104">
        <v>300000</v>
      </c>
      <c r="N55" s="7">
        <f t="shared" si="2"/>
        <v>800000</v>
      </c>
      <c r="O55" s="111"/>
    </row>
    <row r="56" spans="1:15" ht="15.6" x14ac:dyDescent="0.3">
      <c r="A56" s="3"/>
      <c r="B56" s="3"/>
      <c r="C56" s="3">
        <f t="shared" si="0"/>
        <v>-2150000</v>
      </c>
      <c r="D56" s="7"/>
      <c r="E56" s="8"/>
      <c r="F56" s="58"/>
      <c r="I56" s="92">
        <v>15</v>
      </c>
      <c r="J56" s="103">
        <v>45945</v>
      </c>
      <c r="K56" s="109"/>
      <c r="L56" s="110"/>
      <c r="M56" s="104">
        <v>300000</v>
      </c>
      <c r="N56" s="7">
        <f t="shared" si="2"/>
        <v>500000</v>
      </c>
      <c r="O56" s="111"/>
    </row>
    <row r="57" spans="1:15" ht="15.6" x14ac:dyDescent="0.3">
      <c r="A57" s="3"/>
      <c r="B57" s="3"/>
      <c r="C57" s="3">
        <f t="shared" si="0"/>
        <v>-2150000</v>
      </c>
      <c r="D57" s="7"/>
      <c r="E57" s="8"/>
      <c r="F57" s="58"/>
      <c r="I57" s="92">
        <v>16</v>
      </c>
      <c r="J57" s="8">
        <v>45976</v>
      </c>
      <c r="K57" s="109"/>
      <c r="L57" s="110"/>
      <c r="M57" s="104">
        <v>300000</v>
      </c>
      <c r="N57" s="7">
        <f t="shared" si="2"/>
        <v>200000</v>
      </c>
      <c r="O57" s="111"/>
    </row>
    <row r="58" spans="1:15" ht="15.6" x14ac:dyDescent="0.3">
      <c r="A58" s="3"/>
      <c r="B58" s="3"/>
      <c r="C58" s="3">
        <f t="shared" si="0"/>
        <v>-2150000</v>
      </c>
      <c r="D58" s="7"/>
      <c r="E58" s="8"/>
      <c r="F58" s="58"/>
      <c r="I58" s="92">
        <v>17</v>
      </c>
      <c r="J58" s="103">
        <v>46006</v>
      </c>
      <c r="K58" s="109"/>
      <c r="L58" s="110"/>
      <c r="M58" s="104">
        <v>200000</v>
      </c>
      <c r="N58" s="7">
        <f t="shared" si="2"/>
        <v>0</v>
      </c>
      <c r="O58" s="111"/>
    </row>
    <row r="59" spans="1:15" ht="15.6" x14ac:dyDescent="0.3">
      <c r="A59" s="3"/>
      <c r="B59" s="3"/>
      <c r="C59" s="3">
        <f t="shared" si="0"/>
        <v>-2150000</v>
      </c>
      <c r="D59" s="7"/>
      <c r="E59" s="8"/>
      <c r="F59" s="58"/>
    </row>
    <row r="60" spans="1:15" ht="15.6" x14ac:dyDescent="0.3">
      <c r="A60" s="3"/>
      <c r="B60" s="3"/>
      <c r="C60" s="3">
        <f t="shared" si="0"/>
        <v>-2150000</v>
      </c>
      <c r="D60" s="7"/>
      <c r="E60" s="8"/>
      <c r="F60" s="58"/>
    </row>
    <row r="61" spans="1:15" ht="15.6" x14ac:dyDescent="0.3">
      <c r="A61" s="3"/>
      <c r="B61" s="3"/>
      <c r="C61" s="3">
        <f t="shared" si="0"/>
        <v>-2150000</v>
      </c>
      <c r="D61" s="7"/>
      <c r="E61" s="8"/>
      <c r="F61" s="58"/>
      <c r="I61" s="1"/>
      <c r="J61" s="1"/>
      <c r="K61" s="1"/>
      <c r="L61" s="79"/>
      <c r="M61" s="277"/>
      <c r="N61" s="277"/>
      <c r="O61" s="1"/>
    </row>
    <row r="62" spans="1:15" ht="15.6" x14ac:dyDescent="0.3">
      <c r="A62" s="3"/>
      <c r="B62" s="3"/>
      <c r="C62" s="3">
        <f t="shared" si="0"/>
        <v>-2150000</v>
      </c>
      <c r="D62" s="7"/>
      <c r="E62" s="8"/>
      <c r="F62" s="58"/>
      <c r="I62" s="112"/>
      <c r="J62" s="6"/>
      <c r="K62" s="5" t="s">
        <v>37</v>
      </c>
      <c r="L62" s="6" t="s">
        <v>162</v>
      </c>
      <c r="M62" s="272" t="s">
        <v>157</v>
      </c>
      <c r="N62" s="272"/>
      <c r="O62" s="6" t="s">
        <v>163</v>
      </c>
    </row>
    <row r="63" spans="1:15" ht="15.6" x14ac:dyDescent="0.3">
      <c r="A63" s="3"/>
      <c r="B63" s="3"/>
      <c r="C63" s="3">
        <f t="shared" si="0"/>
        <v>-2150000</v>
      </c>
      <c r="D63" s="7"/>
      <c r="E63" s="8"/>
      <c r="F63" s="58"/>
      <c r="I63" s="7" t="s">
        <v>40</v>
      </c>
      <c r="J63" s="7" t="s">
        <v>6</v>
      </c>
      <c r="K63" s="7" t="s">
        <v>5</v>
      </c>
      <c r="L63" s="41" t="s">
        <v>41</v>
      </c>
      <c r="M63" s="41" t="s">
        <v>42</v>
      </c>
      <c r="N63" s="7" t="s">
        <v>43</v>
      </c>
      <c r="O63" s="7" t="s">
        <v>7</v>
      </c>
    </row>
    <row r="64" spans="1:15" ht="31.2" x14ac:dyDescent="0.3">
      <c r="A64" s="3"/>
      <c r="B64" s="3"/>
      <c r="C64" s="3">
        <f t="shared" si="0"/>
        <v>-2150000</v>
      </c>
      <c r="D64" s="7"/>
      <c r="E64" s="8"/>
      <c r="F64" s="58"/>
      <c r="I64" s="7"/>
      <c r="J64" s="8"/>
      <c r="K64" s="8"/>
      <c r="L64" s="102">
        <f>20*350000</f>
        <v>7000000</v>
      </c>
      <c r="M64" s="41"/>
      <c r="N64" s="7">
        <f>L64-M64</f>
        <v>7000000</v>
      </c>
      <c r="O64" s="113" t="s">
        <v>164</v>
      </c>
    </row>
    <row r="65" spans="1:15" ht="15.6" x14ac:dyDescent="0.3">
      <c r="A65" s="3"/>
      <c r="B65" s="3"/>
      <c r="C65" s="3">
        <f t="shared" si="0"/>
        <v>-2150000</v>
      </c>
      <c r="D65" s="7"/>
      <c r="E65" s="8"/>
      <c r="F65" s="58"/>
      <c r="I65" s="7"/>
      <c r="J65" s="103"/>
      <c r="K65" s="103"/>
      <c r="L65" s="41"/>
      <c r="M65" s="105"/>
      <c r="N65" s="7">
        <f>N64-M65</f>
        <v>7000000</v>
      </c>
      <c r="O65" s="7"/>
    </row>
    <row r="66" spans="1:15" ht="15.6" x14ac:dyDescent="0.3">
      <c r="A66" s="3"/>
      <c r="B66" s="3"/>
      <c r="C66" s="3">
        <f t="shared" si="0"/>
        <v>-2150000</v>
      </c>
      <c r="D66" s="7"/>
      <c r="E66" s="8"/>
      <c r="F66" s="58"/>
      <c r="I66" s="7">
        <v>1</v>
      </c>
      <c r="J66" s="103">
        <v>45626</v>
      </c>
      <c r="K66" s="8"/>
      <c r="L66" s="41"/>
      <c r="M66" s="108">
        <v>350000</v>
      </c>
      <c r="N66" s="7">
        <f t="shared" ref="N66:N86" si="3">N65-M66</f>
        <v>6650000</v>
      </c>
      <c r="O66" s="52" t="s">
        <v>136</v>
      </c>
    </row>
    <row r="67" spans="1:15" ht="15.6" x14ac:dyDescent="0.3">
      <c r="A67" s="3"/>
      <c r="B67" s="3"/>
      <c r="C67" s="3">
        <f t="shared" si="0"/>
        <v>-2150000</v>
      </c>
      <c r="D67" s="7"/>
      <c r="E67" s="8"/>
      <c r="F67" s="58"/>
      <c r="I67" s="7">
        <v>2</v>
      </c>
      <c r="J67" s="8">
        <v>45656</v>
      </c>
      <c r="K67" s="8"/>
      <c r="L67" s="41"/>
      <c r="M67" s="108">
        <v>350000</v>
      </c>
      <c r="N67" s="7">
        <f t="shared" si="3"/>
        <v>6300000</v>
      </c>
      <c r="O67" s="52" t="s">
        <v>136</v>
      </c>
    </row>
    <row r="68" spans="1:15" ht="15.6" x14ac:dyDescent="0.3">
      <c r="A68" s="3"/>
      <c r="B68" s="3"/>
      <c r="C68" s="3">
        <f t="shared" si="0"/>
        <v>-2150000</v>
      </c>
      <c r="D68" s="7"/>
      <c r="E68" s="8"/>
      <c r="F68" s="58"/>
      <c r="I68" s="7">
        <v>3</v>
      </c>
      <c r="J68" s="103">
        <v>45687</v>
      </c>
      <c r="K68" s="8"/>
      <c r="L68" s="41"/>
      <c r="M68" s="104">
        <v>350000</v>
      </c>
      <c r="N68" s="7">
        <f t="shared" si="3"/>
        <v>5950000</v>
      </c>
      <c r="O68" s="7"/>
    </row>
    <row r="69" spans="1:15" ht="15.6" x14ac:dyDescent="0.3">
      <c r="A69" s="3"/>
      <c r="B69" s="3"/>
      <c r="C69" s="3">
        <f t="shared" si="0"/>
        <v>-2150000</v>
      </c>
      <c r="D69" s="7"/>
      <c r="E69" s="8"/>
      <c r="F69" s="58"/>
      <c r="I69" s="7">
        <v>4</v>
      </c>
      <c r="J69" s="8">
        <v>45716</v>
      </c>
      <c r="K69" s="8"/>
      <c r="L69" s="41"/>
      <c r="M69" s="104">
        <v>350000</v>
      </c>
      <c r="N69" s="7">
        <f t="shared" si="3"/>
        <v>5600000</v>
      </c>
      <c r="O69" s="7"/>
    </row>
    <row r="70" spans="1:15" ht="15.6" x14ac:dyDescent="0.3">
      <c r="A70" s="3"/>
      <c r="B70" s="3"/>
      <c r="C70" s="3">
        <f t="shared" si="0"/>
        <v>-2150000</v>
      </c>
      <c r="D70" s="7"/>
      <c r="E70" s="8"/>
      <c r="F70" s="58"/>
      <c r="I70" s="7">
        <v>5</v>
      </c>
      <c r="J70" s="103">
        <v>45746</v>
      </c>
      <c r="K70" s="8"/>
      <c r="L70" s="41"/>
      <c r="M70" s="104">
        <v>350000</v>
      </c>
      <c r="N70" s="7">
        <f t="shared" si="3"/>
        <v>5250000</v>
      </c>
      <c r="O70" s="7"/>
    </row>
    <row r="71" spans="1:15" ht="15.6" x14ac:dyDescent="0.3">
      <c r="A71" s="3"/>
      <c r="B71" s="3"/>
      <c r="C71" s="3">
        <f t="shared" ref="C71:C134" si="4">IF(A71&gt;0,C70+A71-B71,C70-B71)</f>
        <v>-2150000</v>
      </c>
      <c r="D71" s="7"/>
      <c r="E71" s="8"/>
      <c r="F71" s="58"/>
      <c r="I71" s="7">
        <v>6</v>
      </c>
      <c r="J71" s="8">
        <v>45777</v>
      </c>
      <c r="K71" s="8"/>
      <c r="L71" s="41"/>
      <c r="M71" s="104">
        <v>350000</v>
      </c>
      <c r="N71" s="7">
        <f t="shared" si="3"/>
        <v>4900000</v>
      </c>
      <c r="O71" s="7"/>
    </row>
    <row r="72" spans="1:15" ht="15.6" x14ac:dyDescent="0.3">
      <c r="A72" s="3"/>
      <c r="B72" s="3"/>
      <c r="C72" s="3">
        <f t="shared" si="4"/>
        <v>-2150000</v>
      </c>
      <c r="D72" s="7"/>
      <c r="E72" s="8"/>
      <c r="F72" s="58"/>
      <c r="I72" s="7">
        <v>7</v>
      </c>
      <c r="J72" s="103">
        <v>45626</v>
      </c>
      <c r="K72" s="8"/>
      <c r="L72" s="41"/>
      <c r="M72" s="104">
        <v>350000</v>
      </c>
      <c r="N72" s="7">
        <f t="shared" si="3"/>
        <v>4550000</v>
      </c>
      <c r="O72" s="7"/>
    </row>
    <row r="73" spans="1:15" ht="15.6" x14ac:dyDescent="0.3">
      <c r="A73" s="3"/>
      <c r="B73" s="3"/>
      <c r="C73" s="3">
        <f t="shared" si="4"/>
        <v>-2150000</v>
      </c>
      <c r="D73" s="7"/>
      <c r="E73" s="8"/>
      <c r="F73" s="58"/>
      <c r="I73" s="7">
        <v>8</v>
      </c>
      <c r="J73" s="8">
        <v>45656</v>
      </c>
      <c r="K73" s="8"/>
      <c r="L73" s="41"/>
      <c r="M73" s="104">
        <v>350000</v>
      </c>
      <c r="N73" s="7">
        <f t="shared" si="3"/>
        <v>4200000</v>
      </c>
      <c r="O73" s="7"/>
    </row>
    <row r="74" spans="1:15" ht="15.6" x14ac:dyDescent="0.3">
      <c r="A74" s="3"/>
      <c r="B74" s="3"/>
      <c r="C74" s="3">
        <f t="shared" si="4"/>
        <v>-2150000</v>
      </c>
      <c r="D74" s="52"/>
      <c r="E74" s="8"/>
      <c r="F74" s="58"/>
      <c r="I74" s="7">
        <v>9</v>
      </c>
      <c r="J74" s="103">
        <v>45687</v>
      </c>
      <c r="K74" s="8"/>
      <c r="L74" s="41"/>
      <c r="M74" s="104">
        <v>350000</v>
      </c>
      <c r="N74" s="7">
        <f t="shared" si="3"/>
        <v>3850000</v>
      </c>
      <c r="O74" s="7"/>
    </row>
    <row r="75" spans="1:15" ht="15.6" x14ac:dyDescent="0.3">
      <c r="A75" s="3"/>
      <c r="B75" s="3"/>
      <c r="C75" s="3">
        <f t="shared" si="4"/>
        <v>-2150000</v>
      </c>
      <c r="D75" s="7"/>
      <c r="E75" s="8"/>
      <c r="F75" s="58"/>
      <c r="I75" s="7">
        <v>10</v>
      </c>
      <c r="J75" s="8">
        <v>45716</v>
      </c>
      <c r="K75" s="8"/>
      <c r="L75" s="41"/>
      <c r="M75" s="104">
        <v>350000</v>
      </c>
      <c r="N75" s="7">
        <f t="shared" si="3"/>
        <v>3500000</v>
      </c>
      <c r="O75" s="7"/>
    </row>
    <row r="76" spans="1:15" ht="15.6" x14ac:dyDescent="0.3">
      <c r="A76" s="3"/>
      <c r="B76" s="3"/>
      <c r="C76" s="3">
        <f t="shared" si="4"/>
        <v>-2150000</v>
      </c>
      <c r="D76" s="7"/>
      <c r="E76" s="8"/>
      <c r="F76" s="58"/>
      <c r="I76" s="7">
        <v>11</v>
      </c>
      <c r="J76" s="103">
        <v>45746</v>
      </c>
      <c r="K76" s="8"/>
      <c r="L76" s="41"/>
      <c r="M76" s="104">
        <v>350000</v>
      </c>
      <c r="N76" s="7">
        <f t="shared" si="3"/>
        <v>3150000</v>
      </c>
      <c r="O76" s="7"/>
    </row>
    <row r="77" spans="1:15" ht="15.6" x14ac:dyDescent="0.3">
      <c r="A77" s="3"/>
      <c r="B77" s="3"/>
      <c r="C77" s="3">
        <f t="shared" si="4"/>
        <v>-2150000</v>
      </c>
      <c r="D77" s="7"/>
      <c r="E77" s="8"/>
      <c r="F77" s="58"/>
      <c r="I77" s="7">
        <v>12</v>
      </c>
      <c r="J77" s="8">
        <v>45777</v>
      </c>
      <c r="K77" s="8"/>
      <c r="L77" s="41"/>
      <c r="M77" s="104">
        <v>350000</v>
      </c>
      <c r="N77" s="7">
        <f t="shared" si="3"/>
        <v>2800000</v>
      </c>
      <c r="O77" s="7"/>
    </row>
    <row r="78" spans="1:15" ht="15.6" x14ac:dyDescent="0.3">
      <c r="A78" s="3"/>
      <c r="B78" s="3"/>
      <c r="C78" s="3">
        <f t="shared" si="4"/>
        <v>-2150000</v>
      </c>
      <c r="D78" s="7"/>
      <c r="E78" s="8"/>
      <c r="F78" s="58"/>
      <c r="I78" s="7">
        <v>13</v>
      </c>
      <c r="J78" s="103">
        <v>45626</v>
      </c>
      <c r="K78" s="8"/>
      <c r="L78" s="41"/>
      <c r="M78" s="104">
        <v>350000</v>
      </c>
      <c r="N78" s="7">
        <f t="shared" si="3"/>
        <v>2450000</v>
      </c>
      <c r="O78" s="7"/>
    </row>
    <row r="79" spans="1:15" ht="15.6" x14ac:dyDescent="0.3">
      <c r="A79" s="3"/>
      <c r="B79" s="3"/>
      <c r="C79" s="3">
        <f t="shared" si="4"/>
        <v>-2150000</v>
      </c>
      <c r="D79" s="7"/>
      <c r="E79" s="8"/>
      <c r="F79" s="58"/>
      <c r="I79" s="7">
        <v>14</v>
      </c>
      <c r="J79" s="8">
        <v>45656</v>
      </c>
      <c r="K79" s="8"/>
      <c r="L79" s="41"/>
      <c r="M79" s="104">
        <v>350000</v>
      </c>
      <c r="N79" s="7">
        <f t="shared" si="3"/>
        <v>2100000</v>
      </c>
      <c r="O79" s="7"/>
    </row>
    <row r="80" spans="1:15" ht="15.6" x14ac:dyDescent="0.3">
      <c r="A80" s="3"/>
      <c r="B80" s="3"/>
      <c r="C80" s="3">
        <f t="shared" si="4"/>
        <v>-2150000</v>
      </c>
      <c r="D80" s="7"/>
      <c r="E80" s="8"/>
      <c r="F80" s="58"/>
      <c r="I80" s="7">
        <v>15</v>
      </c>
      <c r="J80" s="103">
        <v>45687</v>
      </c>
      <c r="K80" s="8"/>
      <c r="L80" s="41"/>
      <c r="M80" s="104">
        <v>350000</v>
      </c>
      <c r="N80" s="7">
        <f t="shared" si="3"/>
        <v>1750000</v>
      </c>
      <c r="O80" s="7"/>
    </row>
    <row r="81" spans="1:15" ht="15.6" x14ac:dyDescent="0.3">
      <c r="A81" s="3"/>
      <c r="B81" s="3"/>
      <c r="C81" s="3">
        <f t="shared" si="4"/>
        <v>-2150000</v>
      </c>
      <c r="D81" s="7"/>
      <c r="E81" s="8"/>
      <c r="F81" s="58"/>
      <c r="I81" s="7">
        <v>16</v>
      </c>
      <c r="J81" s="8">
        <v>45716</v>
      </c>
      <c r="K81" s="8"/>
      <c r="L81" s="41"/>
      <c r="M81" s="104">
        <v>350000</v>
      </c>
      <c r="N81" s="7">
        <f t="shared" si="3"/>
        <v>1400000</v>
      </c>
      <c r="O81" s="7"/>
    </row>
    <row r="82" spans="1:15" ht="15.6" x14ac:dyDescent="0.3">
      <c r="A82" s="3"/>
      <c r="B82" s="3"/>
      <c r="C82" s="3">
        <f t="shared" si="4"/>
        <v>-2150000</v>
      </c>
      <c r="D82" s="7"/>
      <c r="E82" s="8"/>
      <c r="F82" s="58"/>
      <c r="I82" s="7">
        <v>17</v>
      </c>
      <c r="J82" s="103">
        <v>45746</v>
      </c>
      <c r="K82" s="8"/>
      <c r="L82" s="41"/>
      <c r="M82" s="104">
        <v>350000</v>
      </c>
      <c r="N82" s="7">
        <f t="shared" si="3"/>
        <v>1050000</v>
      </c>
      <c r="O82" s="7"/>
    </row>
    <row r="83" spans="1:15" ht="15.6" x14ac:dyDescent="0.3">
      <c r="A83" s="3"/>
      <c r="B83" s="3"/>
      <c r="C83" s="3">
        <f t="shared" si="4"/>
        <v>-2150000</v>
      </c>
      <c r="D83" s="7"/>
      <c r="E83" s="8"/>
      <c r="F83" s="58"/>
      <c r="I83" s="7">
        <v>18</v>
      </c>
      <c r="J83" s="8">
        <v>45777</v>
      </c>
      <c r="K83" s="8"/>
      <c r="L83" s="41"/>
      <c r="M83" s="104">
        <v>350000</v>
      </c>
      <c r="N83" s="7">
        <f t="shared" si="3"/>
        <v>700000</v>
      </c>
      <c r="O83" s="7"/>
    </row>
    <row r="84" spans="1:15" ht="15.6" x14ac:dyDescent="0.3">
      <c r="A84" s="3"/>
      <c r="B84" s="3"/>
      <c r="C84" s="3">
        <f t="shared" si="4"/>
        <v>-2150000</v>
      </c>
      <c r="D84" s="7"/>
      <c r="E84" s="8"/>
      <c r="F84" s="58"/>
      <c r="I84" s="7">
        <v>19</v>
      </c>
      <c r="J84" s="103">
        <v>45626</v>
      </c>
      <c r="K84" s="8"/>
      <c r="L84" s="41"/>
      <c r="M84" s="104">
        <v>350000</v>
      </c>
      <c r="N84" s="7">
        <f t="shared" si="3"/>
        <v>350000</v>
      </c>
      <c r="O84" s="7"/>
    </row>
    <row r="85" spans="1:15" ht="15.6" x14ac:dyDescent="0.3">
      <c r="A85" s="3"/>
      <c r="B85" s="3"/>
      <c r="C85" s="3">
        <f t="shared" si="4"/>
        <v>-2150000</v>
      </c>
      <c r="D85" s="7"/>
      <c r="E85" s="8"/>
      <c r="F85" s="58"/>
      <c r="I85" s="7">
        <v>20</v>
      </c>
      <c r="J85" s="8">
        <v>45656</v>
      </c>
      <c r="K85" s="8"/>
      <c r="L85" s="41"/>
      <c r="M85" s="104">
        <v>350000</v>
      </c>
      <c r="N85" s="7">
        <f t="shared" si="3"/>
        <v>0</v>
      </c>
      <c r="O85" s="7"/>
    </row>
    <row r="86" spans="1:15" ht="15.6" x14ac:dyDescent="0.3">
      <c r="A86" s="3"/>
      <c r="B86" s="3"/>
      <c r="C86" s="3">
        <f t="shared" si="4"/>
        <v>-2150000</v>
      </c>
      <c r="D86" s="7"/>
      <c r="E86" s="8"/>
      <c r="F86" s="58"/>
      <c r="I86" s="7"/>
      <c r="J86" s="103"/>
      <c r="K86" s="8"/>
      <c r="L86" s="41"/>
      <c r="M86" s="41"/>
      <c r="N86" s="7">
        <f t="shared" si="3"/>
        <v>0</v>
      </c>
      <c r="O86" s="7"/>
    </row>
    <row r="87" spans="1:15" ht="15.6" x14ac:dyDescent="0.3">
      <c r="A87" s="3"/>
      <c r="B87" s="3"/>
      <c r="C87" s="3">
        <f t="shared" si="4"/>
        <v>-2150000</v>
      </c>
      <c r="D87" s="7"/>
      <c r="E87" s="8"/>
      <c r="F87" s="58"/>
    </row>
    <row r="88" spans="1:15" ht="15.6" x14ac:dyDescent="0.3">
      <c r="A88" s="3"/>
      <c r="B88" s="3"/>
      <c r="C88" s="3">
        <f t="shared" si="4"/>
        <v>-2150000</v>
      </c>
      <c r="D88" s="7"/>
      <c r="E88" s="8"/>
      <c r="F88" s="58"/>
    </row>
    <row r="89" spans="1:15" ht="15.6" x14ac:dyDescent="0.3">
      <c r="A89" s="3"/>
      <c r="B89" s="3"/>
      <c r="C89" s="3">
        <f t="shared" si="4"/>
        <v>-2150000</v>
      </c>
      <c r="D89" s="7"/>
      <c r="E89" s="8"/>
      <c r="F89" s="58"/>
      <c r="I89" s="1"/>
      <c r="J89" s="1"/>
      <c r="K89" s="1"/>
      <c r="L89" s="79"/>
      <c r="M89" s="277"/>
      <c r="N89" s="277"/>
      <c r="O89" s="1"/>
    </row>
    <row r="90" spans="1:15" ht="15.6" x14ac:dyDescent="0.3">
      <c r="A90" s="3"/>
      <c r="B90" s="3"/>
      <c r="C90" s="3">
        <f t="shared" si="4"/>
        <v>-2150000</v>
      </c>
      <c r="D90" s="7"/>
      <c r="E90" s="8"/>
      <c r="F90" s="58"/>
      <c r="I90" s="112"/>
      <c r="J90" s="6"/>
      <c r="K90" s="5" t="s">
        <v>37</v>
      </c>
      <c r="L90" s="6" t="s">
        <v>165</v>
      </c>
      <c r="M90" s="272" t="s">
        <v>157</v>
      </c>
      <c r="N90" s="272"/>
      <c r="O90" s="6" t="s">
        <v>166</v>
      </c>
    </row>
    <row r="91" spans="1:15" ht="15.6" x14ac:dyDescent="0.3">
      <c r="A91" s="3"/>
      <c r="B91" s="3"/>
      <c r="C91" s="3">
        <f t="shared" si="4"/>
        <v>-2150000</v>
      </c>
      <c r="D91" s="7"/>
      <c r="E91" s="8"/>
      <c r="F91" s="58"/>
      <c r="I91" s="7" t="s">
        <v>40</v>
      </c>
      <c r="J91" s="7" t="s">
        <v>6</v>
      </c>
      <c r="K91" s="7" t="s">
        <v>5</v>
      </c>
      <c r="L91" s="41" t="s">
        <v>41</v>
      </c>
      <c r="M91" s="41" t="s">
        <v>42</v>
      </c>
      <c r="N91" s="7" t="s">
        <v>43</v>
      </c>
      <c r="O91" s="7" t="s">
        <v>7</v>
      </c>
    </row>
    <row r="92" spans="1:15" ht="15.6" x14ac:dyDescent="0.3">
      <c r="A92" s="3"/>
      <c r="B92" s="3"/>
      <c r="C92" s="3">
        <f t="shared" si="4"/>
        <v>-2150000</v>
      </c>
      <c r="D92" s="7"/>
      <c r="E92" s="8"/>
      <c r="F92" s="58"/>
      <c r="I92" s="7"/>
      <c r="J92" s="8"/>
      <c r="K92" s="8"/>
      <c r="L92" s="42">
        <f>1550000+350000</f>
        <v>1900000</v>
      </c>
      <c r="M92" s="41"/>
      <c r="N92" s="7">
        <f>L92-M92</f>
        <v>1900000</v>
      </c>
      <c r="O92" s="113"/>
    </row>
    <row r="93" spans="1:15" ht="15.6" x14ac:dyDescent="0.3">
      <c r="A93" s="3"/>
      <c r="B93" s="3"/>
      <c r="C93" s="3">
        <f t="shared" si="4"/>
        <v>-2150000</v>
      </c>
      <c r="D93" s="7"/>
      <c r="E93" s="8"/>
      <c r="F93" s="7"/>
      <c r="I93" s="7"/>
      <c r="J93" s="103"/>
      <c r="K93" s="103"/>
      <c r="L93" s="41"/>
      <c r="M93" s="104">
        <v>350000</v>
      </c>
      <c r="N93" s="7">
        <f>N92-M93</f>
        <v>1550000</v>
      </c>
      <c r="O93" s="7" t="s">
        <v>122</v>
      </c>
    </row>
    <row r="94" spans="1:15" ht="15.6" x14ac:dyDescent="0.3">
      <c r="A94" s="3"/>
      <c r="B94" s="3"/>
      <c r="C94" s="3">
        <f t="shared" si="4"/>
        <v>-2150000</v>
      </c>
      <c r="D94" s="7"/>
      <c r="E94" s="8"/>
      <c r="F94" s="7"/>
      <c r="I94" s="7">
        <v>1</v>
      </c>
      <c r="J94" s="103"/>
      <c r="K94" s="8"/>
      <c r="L94" s="41"/>
      <c r="M94" s="104">
        <v>155000</v>
      </c>
      <c r="N94" s="7">
        <f t="shared" ref="N94:N109" si="5">N93-M94</f>
        <v>1395000</v>
      </c>
      <c r="O94" s="52"/>
    </row>
    <row r="95" spans="1:15" ht="15.6" x14ac:dyDescent="0.3">
      <c r="A95" s="3"/>
      <c r="B95" s="3"/>
      <c r="C95" s="3">
        <f t="shared" si="4"/>
        <v>-2150000</v>
      </c>
      <c r="D95" s="7"/>
      <c r="E95" s="8"/>
      <c r="F95" s="7"/>
      <c r="I95" s="7">
        <v>2</v>
      </c>
      <c r="J95" s="8"/>
      <c r="K95" s="8"/>
      <c r="L95" s="41"/>
      <c r="M95" s="104">
        <v>155000</v>
      </c>
      <c r="N95" s="7">
        <f t="shared" si="5"/>
        <v>1240000</v>
      </c>
      <c r="O95" s="52"/>
    </row>
    <row r="96" spans="1:15" ht="15.6" x14ac:dyDescent="0.3">
      <c r="A96" s="3"/>
      <c r="B96" s="3"/>
      <c r="C96" s="3">
        <f t="shared" si="4"/>
        <v>-2150000</v>
      </c>
      <c r="D96" s="7"/>
      <c r="E96" s="8"/>
      <c r="F96" s="7"/>
      <c r="I96" s="7">
        <v>3</v>
      </c>
      <c r="J96" s="103"/>
      <c r="K96" s="8"/>
      <c r="L96" s="41"/>
      <c r="M96" s="104">
        <v>155000</v>
      </c>
      <c r="N96" s="7">
        <f t="shared" si="5"/>
        <v>1085000</v>
      </c>
      <c r="O96" s="7"/>
    </row>
    <row r="97" spans="1:15" ht="15.6" x14ac:dyDescent="0.3">
      <c r="A97" s="3"/>
      <c r="B97" s="3"/>
      <c r="C97" s="3">
        <f t="shared" si="4"/>
        <v>-2150000</v>
      </c>
      <c r="D97" s="7"/>
      <c r="E97" s="8"/>
      <c r="F97" s="7"/>
      <c r="I97" s="7">
        <v>4</v>
      </c>
      <c r="J97" s="8"/>
      <c r="K97" s="8"/>
      <c r="L97" s="41"/>
      <c r="M97" s="104">
        <v>155000</v>
      </c>
      <c r="N97" s="7">
        <f t="shared" si="5"/>
        <v>930000</v>
      </c>
      <c r="O97" s="7"/>
    </row>
    <row r="98" spans="1:15" ht="15.6" x14ac:dyDescent="0.3">
      <c r="A98" s="3"/>
      <c r="B98" s="3"/>
      <c r="C98" s="3">
        <f t="shared" si="4"/>
        <v>-2150000</v>
      </c>
      <c r="D98" s="7"/>
      <c r="E98" s="8"/>
      <c r="F98" s="7"/>
      <c r="I98" s="7">
        <v>5</v>
      </c>
      <c r="J98" s="103"/>
      <c r="K98" s="8"/>
      <c r="L98" s="41"/>
      <c r="M98" s="104">
        <v>155000</v>
      </c>
      <c r="N98" s="7">
        <f t="shared" si="5"/>
        <v>775000</v>
      </c>
      <c r="O98" s="7"/>
    </row>
    <row r="99" spans="1:15" ht="15.6" x14ac:dyDescent="0.3">
      <c r="A99" s="3"/>
      <c r="B99" s="3"/>
      <c r="C99" s="3">
        <f t="shared" si="4"/>
        <v>-2150000</v>
      </c>
      <c r="D99" s="7"/>
      <c r="E99" s="8"/>
      <c r="F99" s="7"/>
      <c r="I99" s="7">
        <v>6</v>
      </c>
      <c r="J99" s="8"/>
      <c r="K99" s="8"/>
      <c r="L99" s="41"/>
      <c r="M99" s="104">
        <v>155000</v>
      </c>
      <c r="N99" s="7">
        <f t="shared" si="5"/>
        <v>620000</v>
      </c>
      <c r="O99" s="7"/>
    </row>
    <row r="100" spans="1:15" ht="15.6" x14ac:dyDescent="0.3">
      <c r="A100" s="3"/>
      <c r="B100" s="3"/>
      <c r="C100" s="3">
        <f t="shared" si="4"/>
        <v>-2150000</v>
      </c>
      <c r="D100" s="7"/>
      <c r="E100" s="8"/>
      <c r="F100" s="7"/>
      <c r="I100" s="7">
        <v>7</v>
      </c>
      <c r="J100" s="103"/>
      <c r="K100" s="8"/>
      <c r="L100" s="41"/>
      <c r="M100" s="104">
        <v>155000</v>
      </c>
      <c r="N100" s="7">
        <f t="shared" si="5"/>
        <v>465000</v>
      </c>
      <c r="O100" s="7"/>
    </row>
    <row r="101" spans="1:15" ht="15.6" x14ac:dyDescent="0.3">
      <c r="A101" s="3"/>
      <c r="B101" s="3"/>
      <c r="C101" s="3">
        <f t="shared" si="4"/>
        <v>-2150000</v>
      </c>
      <c r="D101" s="7"/>
      <c r="E101" s="8"/>
      <c r="F101" s="7"/>
      <c r="I101" s="7">
        <v>8</v>
      </c>
      <c r="J101" s="8"/>
      <c r="K101" s="8"/>
      <c r="L101" s="41"/>
      <c r="M101" s="104">
        <v>155000</v>
      </c>
      <c r="N101" s="7">
        <f t="shared" si="5"/>
        <v>310000</v>
      </c>
      <c r="O101" s="7"/>
    </row>
    <row r="102" spans="1:15" ht="15.6" x14ac:dyDescent="0.3">
      <c r="A102" s="3"/>
      <c r="B102" s="3"/>
      <c r="C102" s="3">
        <f t="shared" si="4"/>
        <v>-2150000</v>
      </c>
      <c r="D102" s="7"/>
      <c r="E102" s="8"/>
      <c r="F102" s="7"/>
      <c r="I102" s="7">
        <v>9</v>
      </c>
      <c r="J102" s="103"/>
      <c r="K102" s="8"/>
      <c r="L102" s="41"/>
      <c r="M102" s="104">
        <v>155000</v>
      </c>
      <c r="N102" s="7">
        <f t="shared" si="5"/>
        <v>155000</v>
      </c>
      <c r="O102" s="7"/>
    </row>
    <row r="103" spans="1:15" ht="15.6" x14ac:dyDescent="0.3">
      <c r="A103" s="3"/>
      <c r="B103" s="3"/>
      <c r="C103" s="3">
        <f t="shared" si="4"/>
        <v>-2150000</v>
      </c>
      <c r="D103" s="7"/>
      <c r="E103" s="8"/>
      <c r="F103" s="7"/>
      <c r="I103" s="7">
        <v>10</v>
      </c>
      <c r="J103" s="8"/>
      <c r="K103" s="8"/>
      <c r="L103" s="41"/>
      <c r="M103" s="104">
        <v>155000</v>
      </c>
      <c r="N103" s="7">
        <f t="shared" si="5"/>
        <v>0</v>
      </c>
      <c r="O103" s="7"/>
    </row>
    <row r="104" spans="1:15" ht="15.6" x14ac:dyDescent="0.3">
      <c r="A104" s="3"/>
      <c r="B104" s="3"/>
      <c r="C104" s="3">
        <f t="shared" si="4"/>
        <v>-2150000</v>
      </c>
      <c r="D104" s="7"/>
      <c r="E104" s="8"/>
      <c r="F104" s="7"/>
      <c r="I104" s="7"/>
      <c r="J104" s="8"/>
      <c r="K104" s="8"/>
      <c r="L104" s="41"/>
      <c r="M104" s="41"/>
      <c r="N104" s="7">
        <f t="shared" si="5"/>
        <v>0</v>
      </c>
      <c r="O104" s="7"/>
    </row>
    <row r="105" spans="1:15" ht="15.6" x14ac:dyDescent="0.3">
      <c r="A105" s="3"/>
      <c r="B105" s="3"/>
      <c r="C105" s="3">
        <f t="shared" si="4"/>
        <v>-2150000</v>
      </c>
      <c r="D105" s="7"/>
      <c r="E105" s="8"/>
      <c r="F105" s="7"/>
      <c r="I105" s="7"/>
      <c r="J105" s="8"/>
      <c r="K105" s="8"/>
      <c r="L105" s="41"/>
      <c r="M105" s="41"/>
      <c r="N105" s="7">
        <f t="shared" si="5"/>
        <v>0</v>
      </c>
      <c r="O105" s="7"/>
    </row>
    <row r="106" spans="1:15" ht="15.6" x14ac:dyDescent="0.3">
      <c r="A106" s="3"/>
      <c r="B106" s="3"/>
      <c r="C106" s="3">
        <f t="shared" si="4"/>
        <v>-2150000</v>
      </c>
      <c r="D106" s="7"/>
      <c r="E106" s="8"/>
      <c r="F106" s="7"/>
      <c r="I106" s="7"/>
      <c r="J106" s="8"/>
      <c r="K106" s="8"/>
      <c r="L106" s="41"/>
      <c r="M106" s="41"/>
      <c r="N106" s="7">
        <f t="shared" si="5"/>
        <v>0</v>
      </c>
      <c r="O106" s="7"/>
    </row>
    <row r="107" spans="1:15" ht="15.6" x14ac:dyDescent="0.3">
      <c r="A107" s="3"/>
      <c r="B107" s="3"/>
      <c r="C107" s="3">
        <f t="shared" si="4"/>
        <v>-2150000</v>
      </c>
      <c r="D107" s="7"/>
      <c r="E107" s="8"/>
      <c r="F107" s="7"/>
      <c r="I107" s="7"/>
      <c r="J107" s="8"/>
      <c r="K107" s="8"/>
      <c r="L107" s="41"/>
      <c r="M107" s="41"/>
      <c r="N107" s="7">
        <f t="shared" si="5"/>
        <v>0</v>
      </c>
      <c r="O107" s="7"/>
    </row>
    <row r="108" spans="1:15" ht="15.6" x14ac:dyDescent="0.3">
      <c r="A108" s="3"/>
      <c r="B108" s="3"/>
      <c r="C108" s="3">
        <f t="shared" si="4"/>
        <v>-2150000</v>
      </c>
      <c r="D108" s="7"/>
      <c r="E108" s="8"/>
      <c r="F108" s="7"/>
      <c r="I108" s="7"/>
      <c r="J108" s="8"/>
      <c r="K108" s="8"/>
      <c r="L108" s="41"/>
      <c r="M108" s="41"/>
      <c r="N108" s="7">
        <f t="shared" si="5"/>
        <v>0</v>
      </c>
      <c r="O108" s="7"/>
    </row>
    <row r="109" spans="1:15" ht="15.6" x14ac:dyDescent="0.3">
      <c r="A109" s="3"/>
      <c r="B109" s="3"/>
      <c r="C109" s="3">
        <f t="shared" si="4"/>
        <v>-2150000</v>
      </c>
      <c r="D109" s="7"/>
      <c r="E109" s="8"/>
      <c r="F109" s="7"/>
      <c r="I109" s="7"/>
      <c r="J109" s="7"/>
      <c r="K109" s="7"/>
      <c r="L109" s="41"/>
      <c r="M109" s="41"/>
      <c r="N109" s="7">
        <f t="shared" si="5"/>
        <v>0</v>
      </c>
      <c r="O109" s="7"/>
    </row>
    <row r="110" spans="1:15" ht="15.6" x14ac:dyDescent="0.3">
      <c r="A110" s="3"/>
      <c r="B110" s="3"/>
      <c r="C110" s="3">
        <f t="shared" si="4"/>
        <v>-2150000</v>
      </c>
      <c r="D110" s="7"/>
      <c r="E110" s="8"/>
      <c r="F110" s="7"/>
    </row>
    <row r="111" spans="1:15" ht="15.6" x14ac:dyDescent="0.3">
      <c r="A111" s="3"/>
      <c r="B111" s="3"/>
      <c r="C111" s="3">
        <f t="shared" si="4"/>
        <v>-2150000</v>
      </c>
      <c r="D111" s="7"/>
      <c r="E111" s="8"/>
      <c r="F111" s="7"/>
    </row>
    <row r="112" spans="1:15" ht="15.6" x14ac:dyDescent="0.3">
      <c r="A112" s="3"/>
      <c r="B112" s="3"/>
      <c r="C112" s="3">
        <f t="shared" si="4"/>
        <v>-2150000</v>
      </c>
      <c r="D112" s="7"/>
      <c r="E112" s="8"/>
      <c r="F112" s="7"/>
    </row>
    <row r="113" spans="1:15" ht="15.6" x14ac:dyDescent="0.3">
      <c r="A113" s="3"/>
      <c r="B113" s="3"/>
      <c r="C113" s="3">
        <f t="shared" si="4"/>
        <v>-2150000</v>
      </c>
      <c r="D113" s="7"/>
      <c r="E113" s="8"/>
      <c r="F113" s="7"/>
      <c r="I113" s="1"/>
      <c r="J113" s="1"/>
      <c r="K113" s="1"/>
      <c r="L113" s="79"/>
      <c r="M113" s="277"/>
      <c r="N113" s="277"/>
      <c r="O113" s="1"/>
    </row>
    <row r="114" spans="1:15" ht="15.6" x14ac:dyDescent="0.3">
      <c r="A114" s="3"/>
      <c r="B114" s="3"/>
      <c r="C114" s="3">
        <f t="shared" si="4"/>
        <v>-2150000</v>
      </c>
      <c r="D114" s="7"/>
      <c r="E114" s="8"/>
      <c r="F114" s="7"/>
      <c r="I114" s="112"/>
      <c r="J114" s="6"/>
      <c r="K114" s="5" t="s">
        <v>37</v>
      </c>
      <c r="L114" s="6" t="s">
        <v>167</v>
      </c>
      <c r="M114" s="272" t="s">
        <v>157</v>
      </c>
      <c r="N114" s="272"/>
      <c r="O114" s="6" t="s">
        <v>166</v>
      </c>
    </row>
    <row r="115" spans="1:15" ht="15.6" x14ac:dyDescent="0.3">
      <c r="A115" s="3"/>
      <c r="B115" s="3"/>
      <c r="C115" s="3">
        <f t="shared" si="4"/>
        <v>-2150000</v>
      </c>
      <c r="D115" s="7"/>
      <c r="E115" s="8"/>
      <c r="F115" s="7"/>
      <c r="I115" s="7" t="s">
        <v>40</v>
      </c>
      <c r="J115" s="7" t="s">
        <v>6</v>
      </c>
      <c r="K115" s="7" t="s">
        <v>5</v>
      </c>
      <c r="L115" s="41" t="s">
        <v>41</v>
      </c>
      <c r="M115" s="41" t="s">
        <v>42</v>
      </c>
      <c r="N115" s="7" t="s">
        <v>43</v>
      </c>
      <c r="O115" s="7" t="s">
        <v>7</v>
      </c>
    </row>
    <row r="116" spans="1:15" ht="15.6" x14ac:dyDescent="0.3">
      <c r="A116" s="3"/>
      <c r="B116" s="3"/>
      <c r="C116" s="3">
        <f t="shared" si="4"/>
        <v>-2150000</v>
      </c>
      <c r="D116" s="7"/>
      <c r="E116" s="8"/>
      <c r="F116" s="7"/>
      <c r="I116" s="7"/>
      <c r="J116" s="8"/>
      <c r="K116" s="8"/>
      <c r="L116" s="102">
        <v>1800000</v>
      </c>
      <c r="M116" s="41"/>
      <c r="N116" s="7">
        <f>L116-M116</f>
        <v>1800000</v>
      </c>
      <c r="O116" s="113"/>
    </row>
    <row r="117" spans="1:15" ht="15.6" x14ac:dyDescent="0.3">
      <c r="A117" s="3"/>
      <c r="B117" s="3"/>
      <c r="C117" s="3">
        <f t="shared" si="4"/>
        <v>-2150000</v>
      </c>
      <c r="D117" s="7"/>
      <c r="E117" s="8"/>
      <c r="F117" s="7"/>
      <c r="I117" s="7"/>
      <c r="J117" s="103"/>
      <c r="K117" s="103"/>
      <c r="L117" s="41"/>
      <c r="M117" s="104"/>
      <c r="N117" s="7">
        <f>N116-M117</f>
        <v>1800000</v>
      </c>
      <c r="O117" s="7"/>
    </row>
    <row r="118" spans="1:15" ht="15.6" x14ac:dyDescent="0.3">
      <c r="A118" s="3"/>
      <c r="B118" s="3"/>
      <c r="C118" s="3">
        <f t="shared" si="4"/>
        <v>-2150000</v>
      </c>
      <c r="D118" s="7"/>
      <c r="E118" s="8"/>
      <c r="F118" s="7"/>
      <c r="I118" s="7">
        <v>1</v>
      </c>
      <c r="J118" s="103">
        <v>46296</v>
      </c>
      <c r="K118" s="8"/>
      <c r="L118" s="41"/>
      <c r="M118" s="104">
        <v>480000</v>
      </c>
      <c r="N118" s="7">
        <f t="shared" ref="N118:N130" si="6">N117-M118</f>
        <v>1320000</v>
      </c>
      <c r="O118" s="52" t="s">
        <v>168</v>
      </c>
    </row>
    <row r="119" spans="1:15" ht="15.6" x14ac:dyDescent="0.3">
      <c r="A119" s="3"/>
      <c r="B119" s="3"/>
      <c r="C119" s="3">
        <f t="shared" si="4"/>
        <v>-2150000</v>
      </c>
      <c r="D119" s="7"/>
      <c r="E119" s="8"/>
      <c r="F119" s="7"/>
      <c r="I119" s="7">
        <v>2</v>
      </c>
      <c r="J119" s="8">
        <v>46297</v>
      </c>
      <c r="K119" s="8"/>
      <c r="L119" s="41"/>
      <c r="M119" s="104">
        <v>120000</v>
      </c>
      <c r="N119" s="7">
        <f t="shared" si="6"/>
        <v>1200000</v>
      </c>
      <c r="O119" s="52"/>
    </row>
    <row r="120" spans="1:15" ht="15.6" x14ac:dyDescent="0.3">
      <c r="A120" s="3"/>
      <c r="B120" s="3"/>
      <c r="C120" s="3">
        <f t="shared" si="4"/>
        <v>-2150000</v>
      </c>
      <c r="D120" s="7"/>
      <c r="E120" s="8"/>
      <c r="F120" s="7"/>
      <c r="I120" s="7">
        <v>3</v>
      </c>
      <c r="J120" s="103">
        <v>46298</v>
      </c>
      <c r="K120" s="8"/>
      <c r="L120" s="41"/>
      <c r="M120" s="104">
        <v>120000</v>
      </c>
      <c r="N120" s="7">
        <f t="shared" si="6"/>
        <v>1080000</v>
      </c>
      <c r="O120" s="7"/>
    </row>
    <row r="121" spans="1:15" ht="15.6" x14ac:dyDescent="0.3">
      <c r="A121" s="3"/>
      <c r="B121" s="3"/>
      <c r="C121" s="3">
        <f t="shared" si="4"/>
        <v>-2150000</v>
      </c>
      <c r="D121" s="7"/>
      <c r="E121" s="8"/>
      <c r="F121" s="7"/>
      <c r="I121" s="7">
        <v>4</v>
      </c>
      <c r="J121" s="8">
        <v>46299</v>
      </c>
      <c r="K121" s="8"/>
      <c r="L121" s="41"/>
      <c r="M121" s="104">
        <v>120000</v>
      </c>
      <c r="N121" s="7">
        <f t="shared" si="6"/>
        <v>960000</v>
      </c>
      <c r="O121" s="7"/>
    </row>
    <row r="122" spans="1:15" ht="15.6" x14ac:dyDescent="0.3">
      <c r="A122" s="3"/>
      <c r="B122" s="3"/>
      <c r="C122" s="3">
        <f t="shared" si="4"/>
        <v>-2150000</v>
      </c>
      <c r="D122" s="7"/>
      <c r="E122" s="8"/>
      <c r="F122" s="7"/>
      <c r="I122" s="7">
        <v>5</v>
      </c>
      <c r="J122" s="103">
        <v>46300</v>
      </c>
      <c r="K122" s="8"/>
      <c r="L122" s="41"/>
      <c r="M122" s="104">
        <v>120000</v>
      </c>
      <c r="N122" s="7">
        <f t="shared" si="6"/>
        <v>840000</v>
      </c>
      <c r="O122" s="7"/>
    </row>
    <row r="123" spans="1:15" ht="15.6" x14ac:dyDescent="0.3">
      <c r="A123" s="3"/>
      <c r="B123" s="3"/>
      <c r="C123" s="3">
        <f t="shared" si="4"/>
        <v>-2150000</v>
      </c>
      <c r="D123" s="7"/>
      <c r="E123" s="8"/>
      <c r="F123" s="7"/>
      <c r="I123" s="7">
        <v>6</v>
      </c>
      <c r="J123" s="8">
        <v>46301</v>
      </c>
      <c r="K123" s="8"/>
      <c r="L123" s="41"/>
      <c r="M123" s="104">
        <v>120000</v>
      </c>
      <c r="N123" s="7">
        <f t="shared" si="6"/>
        <v>720000</v>
      </c>
      <c r="O123" s="7"/>
    </row>
    <row r="124" spans="1:15" ht="15.6" x14ac:dyDescent="0.3">
      <c r="A124" s="3"/>
      <c r="B124" s="3"/>
      <c r="C124" s="3">
        <f t="shared" si="4"/>
        <v>-2150000</v>
      </c>
      <c r="D124" s="7"/>
      <c r="E124" s="8"/>
      <c r="F124" s="7"/>
      <c r="I124" s="7">
        <v>7</v>
      </c>
      <c r="J124" s="103">
        <v>46302</v>
      </c>
      <c r="K124" s="8"/>
      <c r="L124" s="41"/>
      <c r="M124" s="104">
        <v>120000</v>
      </c>
      <c r="N124" s="7">
        <f t="shared" si="6"/>
        <v>600000</v>
      </c>
      <c r="O124" s="7"/>
    </row>
    <row r="125" spans="1:15" ht="15.6" x14ac:dyDescent="0.3">
      <c r="A125" s="3"/>
      <c r="B125" s="3"/>
      <c r="C125" s="3">
        <f t="shared" si="4"/>
        <v>-2150000</v>
      </c>
      <c r="D125" s="7"/>
      <c r="E125" s="8"/>
      <c r="F125" s="7"/>
      <c r="I125" s="7">
        <v>8</v>
      </c>
      <c r="J125" s="8">
        <v>46303</v>
      </c>
      <c r="K125" s="8"/>
      <c r="L125" s="41"/>
      <c r="M125" s="104">
        <v>120000</v>
      </c>
      <c r="N125" s="7">
        <f t="shared" si="6"/>
        <v>480000</v>
      </c>
      <c r="O125" s="7"/>
    </row>
    <row r="126" spans="1:15" ht="15.6" x14ac:dyDescent="0.3">
      <c r="A126" s="3"/>
      <c r="B126" s="3"/>
      <c r="C126" s="3">
        <f t="shared" si="4"/>
        <v>-2150000</v>
      </c>
      <c r="D126" s="7"/>
      <c r="E126" s="8"/>
      <c r="F126" s="7"/>
      <c r="I126" s="7">
        <v>9</v>
      </c>
      <c r="J126" s="103">
        <v>46304</v>
      </c>
      <c r="K126" s="8"/>
      <c r="L126" s="41"/>
      <c r="M126" s="104">
        <v>120000</v>
      </c>
      <c r="N126" s="7">
        <f t="shared" si="6"/>
        <v>360000</v>
      </c>
      <c r="O126" s="7"/>
    </row>
    <row r="127" spans="1:15" ht="15.6" x14ac:dyDescent="0.3">
      <c r="A127" s="3"/>
      <c r="B127" s="3"/>
      <c r="C127" s="3">
        <f t="shared" si="4"/>
        <v>-2150000</v>
      </c>
      <c r="D127" s="7"/>
      <c r="E127" s="8"/>
      <c r="F127" s="7"/>
      <c r="I127" s="7">
        <v>10</v>
      </c>
      <c r="J127" s="8">
        <v>46305</v>
      </c>
      <c r="K127" s="8"/>
      <c r="L127" s="41"/>
      <c r="M127" s="104">
        <v>120000</v>
      </c>
      <c r="N127" s="7">
        <f t="shared" si="6"/>
        <v>240000</v>
      </c>
      <c r="O127" s="7"/>
    </row>
    <row r="128" spans="1:15" ht="15.6" x14ac:dyDescent="0.3">
      <c r="A128" s="3"/>
      <c r="B128" s="3"/>
      <c r="C128" s="3">
        <f t="shared" si="4"/>
        <v>-2150000</v>
      </c>
      <c r="D128" s="7"/>
      <c r="E128" s="8"/>
      <c r="F128" s="7"/>
      <c r="I128" s="7">
        <v>11</v>
      </c>
      <c r="J128" s="8">
        <v>46306</v>
      </c>
      <c r="K128" s="8"/>
      <c r="L128" s="41"/>
      <c r="M128" s="104">
        <v>120000</v>
      </c>
      <c r="N128" s="7">
        <f t="shared" si="6"/>
        <v>120000</v>
      </c>
      <c r="O128" s="7"/>
    </row>
    <row r="129" spans="1:15" ht="15.6" x14ac:dyDescent="0.3">
      <c r="A129" s="3"/>
      <c r="B129" s="3"/>
      <c r="C129" s="3">
        <f t="shared" si="4"/>
        <v>-2150000</v>
      </c>
      <c r="D129" s="7"/>
      <c r="E129" s="8"/>
      <c r="F129" s="7"/>
      <c r="I129" s="7">
        <v>12</v>
      </c>
      <c r="J129" s="8">
        <v>46307</v>
      </c>
      <c r="K129" s="8"/>
      <c r="L129" s="41"/>
      <c r="M129" s="104">
        <v>120000</v>
      </c>
      <c r="N129" s="7">
        <f t="shared" si="6"/>
        <v>0</v>
      </c>
      <c r="O129" s="7"/>
    </row>
    <row r="130" spans="1:15" ht="15.6" x14ac:dyDescent="0.3">
      <c r="A130" s="3"/>
      <c r="B130" s="3"/>
      <c r="C130" s="3">
        <f t="shared" si="4"/>
        <v>-2150000</v>
      </c>
      <c r="D130" s="7"/>
      <c r="E130" s="8"/>
      <c r="F130" s="7"/>
      <c r="I130" s="7"/>
      <c r="J130" s="8"/>
      <c r="K130" s="8"/>
      <c r="L130" s="41"/>
      <c r="M130" s="104"/>
      <c r="N130" s="7">
        <f t="shared" si="6"/>
        <v>0</v>
      </c>
      <c r="O130" s="7"/>
    </row>
    <row r="131" spans="1:15" ht="15.6" x14ac:dyDescent="0.3">
      <c r="A131" s="3"/>
      <c r="B131" s="3"/>
      <c r="C131" s="3">
        <f t="shared" si="4"/>
        <v>-2150000</v>
      </c>
      <c r="D131" s="7"/>
      <c r="E131" s="8"/>
      <c r="F131" s="7"/>
    </row>
    <row r="132" spans="1:15" ht="15.6" x14ac:dyDescent="0.3">
      <c r="A132" s="3"/>
      <c r="B132" s="3"/>
      <c r="C132" s="3">
        <f t="shared" si="4"/>
        <v>-2150000</v>
      </c>
      <c r="D132" s="7"/>
      <c r="E132" s="8"/>
      <c r="F132" s="7"/>
    </row>
    <row r="133" spans="1:15" ht="15.6" x14ac:dyDescent="0.3">
      <c r="A133" s="3"/>
      <c r="B133" s="3"/>
      <c r="C133" s="3">
        <f t="shared" si="4"/>
        <v>-2150000</v>
      </c>
      <c r="D133" s="7"/>
      <c r="E133" s="8"/>
      <c r="F133" s="7"/>
    </row>
    <row r="134" spans="1:15" ht="15.6" x14ac:dyDescent="0.3">
      <c r="A134" s="3"/>
      <c r="B134" s="3"/>
      <c r="C134" s="3">
        <f t="shared" si="4"/>
        <v>-2150000</v>
      </c>
      <c r="D134" s="7"/>
      <c r="E134" s="8"/>
      <c r="F134" s="7"/>
    </row>
    <row r="135" spans="1:15" ht="15.6" x14ac:dyDescent="0.3">
      <c r="A135" s="3"/>
      <c r="B135" s="3"/>
      <c r="C135" s="3">
        <f t="shared" ref="C135:C153" si="7">IF(A135&gt;0,C134+A135-B135,C134-B135)</f>
        <v>-2150000</v>
      </c>
      <c r="D135" s="7"/>
      <c r="E135" s="8"/>
      <c r="F135" s="7"/>
    </row>
    <row r="136" spans="1:15" ht="15.6" x14ac:dyDescent="0.3">
      <c r="A136" s="3"/>
      <c r="B136" s="3"/>
      <c r="C136" s="3">
        <f t="shared" si="7"/>
        <v>-2150000</v>
      </c>
      <c r="D136" s="7"/>
      <c r="E136" s="8"/>
      <c r="F136" s="7"/>
    </row>
    <row r="137" spans="1:15" ht="15.6" x14ac:dyDescent="0.3">
      <c r="A137" s="3"/>
      <c r="B137" s="3"/>
      <c r="C137" s="3">
        <f t="shared" si="7"/>
        <v>-2150000</v>
      </c>
      <c r="D137" s="7"/>
      <c r="E137" s="8"/>
      <c r="F137" s="7"/>
    </row>
    <row r="138" spans="1:15" ht="15.6" x14ac:dyDescent="0.3">
      <c r="A138" s="3"/>
      <c r="B138" s="3"/>
      <c r="C138" s="3">
        <f t="shared" si="7"/>
        <v>-2150000</v>
      </c>
      <c r="D138" s="7"/>
      <c r="E138" s="8"/>
      <c r="F138" s="7"/>
    </row>
    <row r="139" spans="1:15" ht="15.6" x14ac:dyDescent="0.3">
      <c r="A139" s="3"/>
      <c r="B139" s="3"/>
      <c r="C139" s="3">
        <f t="shared" si="7"/>
        <v>-2150000</v>
      </c>
      <c r="D139" s="7"/>
      <c r="E139" s="8"/>
      <c r="F139" s="7"/>
    </row>
    <row r="140" spans="1:15" ht="15.6" x14ac:dyDescent="0.3">
      <c r="A140" s="3"/>
      <c r="B140" s="3"/>
      <c r="C140" s="3">
        <f t="shared" si="7"/>
        <v>-2150000</v>
      </c>
      <c r="D140" s="7"/>
      <c r="E140" s="8"/>
      <c r="F140" s="7"/>
    </row>
    <row r="141" spans="1:15" ht="15.6" x14ac:dyDescent="0.3">
      <c r="A141" s="3"/>
      <c r="B141" s="3"/>
      <c r="C141" s="3">
        <f t="shared" si="7"/>
        <v>-2150000</v>
      </c>
      <c r="D141" s="7"/>
      <c r="E141" s="8"/>
      <c r="F141" s="7"/>
    </row>
    <row r="142" spans="1:15" ht="15.6" x14ac:dyDescent="0.3">
      <c r="A142" s="3"/>
      <c r="B142" s="3"/>
      <c r="C142" s="3">
        <f t="shared" si="7"/>
        <v>-2150000</v>
      </c>
      <c r="D142" s="7"/>
      <c r="E142" s="8"/>
      <c r="F142" s="7"/>
    </row>
    <row r="143" spans="1:15" ht="15.6" x14ac:dyDescent="0.3">
      <c r="A143" s="3"/>
      <c r="B143" s="3"/>
      <c r="C143" s="3">
        <f t="shared" si="7"/>
        <v>-2150000</v>
      </c>
      <c r="D143" s="7"/>
      <c r="E143" s="8"/>
      <c r="F143" s="7"/>
    </row>
    <row r="144" spans="1:15" ht="15.6" x14ac:dyDescent="0.3">
      <c r="A144" s="3"/>
      <c r="B144" s="3"/>
      <c r="C144" s="3">
        <f t="shared" si="7"/>
        <v>-2150000</v>
      </c>
      <c r="D144" s="7"/>
      <c r="E144" s="8"/>
      <c r="F144" s="7"/>
    </row>
    <row r="145" spans="1:6" ht="15.6" x14ac:dyDescent="0.3">
      <c r="A145" s="3"/>
      <c r="B145" s="3"/>
      <c r="C145" s="3">
        <f t="shared" si="7"/>
        <v>-2150000</v>
      </c>
      <c r="D145" s="7"/>
      <c r="E145" s="8"/>
      <c r="F145" s="7"/>
    </row>
    <row r="146" spans="1:6" ht="15.6" x14ac:dyDescent="0.3">
      <c r="A146" s="3"/>
      <c r="B146" s="3"/>
      <c r="C146" s="3">
        <f t="shared" si="7"/>
        <v>-2150000</v>
      </c>
      <c r="D146" s="7"/>
      <c r="E146" s="8"/>
      <c r="F146" s="7"/>
    </row>
    <row r="147" spans="1:6" ht="15.6" x14ac:dyDescent="0.3">
      <c r="A147" s="3"/>
      <c r="B147" s="3"/>
      <c r="C147" s="3">
        <f t="shared" si="7"/>
        <v>-2150000</v>
      </c>
      <c r="D147" s="7"/>
      <c r="E147" s="8"/>
      <c r="F147" s="7"/>
    </row>
    <row r="148" spans="1:6" ht="15.6" x14ac:dyDescent="0.3">
      <c r="A148" s="3"/>
      <c r="B148" s="3"/>
      <c r="C148" s="3">
        <f t="shared" si="7"/>
        <v>-2150000</v>
      </c>
      <c r="D148" s="7"/>
      <c r="E148" s="8"/>
      <c r="F148" s="7"/>
    </row>
    <row r="149" spans="1:6" ht="15.6" x14ac:dyDescent="0.3">
      <c r="A149" s="3"/>
      <c r="B149" s="3"/>
      <c r="C149" s="3">
        <f t="shared" si="7"/>
        <v>-2150000</v>
      </c>
      <c r="D149" s="7"/>
      <c r="E149" s="8"/>
      <c r="F149" s="7"/>
    </row>
    <row r="150" spans="1:6" ht="15.6" x14ac:dyDescent="0.3">
      <c r="A150" s="3"/>
      <c r="B150" s="3"/>
      <c r="C150" s="3">
        <f t="shared" si="7"/>
        <v>-2150000</v>
      </c>
      <c r="D150" s="7"/>
      <c r="E150" s="8"/>
      <c r="F150" s="7"/>
    </row>
    <row r="151" spans="1:6" ht="15.6" x14ac:dyDescent="0.3">
      <c r="A151" s="3"/>
      <c r="B151" s="3"/>
      <c r="C151" s="3">
        <f t="shared" si="7"/>
        <v>-2150000</v>
      </c>
      <c r="D151" s="7"/>
      <c r="E151" s="8"/>
      <c r="F151" s="7"/>
    </row>
    <row r="152" spans="1:6" ht="15.6" x14ac:dyDescent="0.3">
      <c r="A152" s="3"/>
      <c r="B152" s="3"/>
      <c r="C152" s="3">
        <f t="shared" si="7"/>
        <v>-2150000</v>
      </c>
      <c r="D152" s="7"/>
      <c r="E152" s="8"/>
      <c r="F152" s="7"/>
    </row>
    <row r="153" spans="1:6" ht="15.6" x14ac:dyDescent="0.3">
      <c r="A153" s="7"/>
      <c r="B153" s="7"/>
      <c r="C153" s="7">
        <f t="shared" si="7"/>
        <v>-2150000</v>
      </c>
      <c r="D153" s="7"/>
      <c r="E153" s="8"/>
      <c r="F153" s="7"/>
    </row>
    <row r="154" spans="1:6" ht="15.6" x14ac:dyDescent="0.3">
      <c r="A154" s="7"/>
      <c r="B154" s="7"/>
      <c r="C154" s="7"/>
      <c r="D154" s="7"/>
      <c r="E154" s="8"/>
      <c r="F154" s="7"/>
    </row>
    <row r="155" spans="1:6" ht="15.6" x14ac:dyDescent="0.3">
      <c r="A155" s="7"/>
      <c r="B155" s="7"/>
      <c r="C155" s="7"/>
      <c r="D155" s="7"/>
      <c r="E155" s="8"/>
      <c r="F155" s="7"/>
    </row>
    <row r="156" spans="1:6" ht="15.6" x14ac:dyDescent="0.3">
      <c r="A156" s="7"/>
      <c r="B156" s="7"/>
      <c r="C156" s="7">
        <f>IF(A156&gt;0,C153+A156-B156,C153-B156)</f>
        <v>-2150000</v>
      </c>
      <c r="D156" s="7"/>
      <c r="E156" s="8"/>
      <c r="F156" s="7"/>
    </row>
  </sheetData>
  <mergeCells count="13">
    <mergeCell ref="M62:N62"/>
    <mergeCell ref="M89:N89"/>
    <mergeCell ref="M90:N90"/>
    <mergeCell ref="M113:N113"/>
    <mergeCell ref="M114:N114"/>
    <mergeCell ref="M61:N61"/>
    <mergeCell ref="F14:F16"/>
    <mergeCell ref="A3:C3"/>
    <mergeCell ref="M2:N2"/>
    <mergeCell ref="M3:N3"/>
    <mergeCell ref="M37:N37"/>
    <mergeCell ref="M38:N38"/>
    <mergeCell ref="M6:N6"/>
  </mergeCells>
  <pageMargins left="0.7" right="0.7" top="0.75" bottom="0.75" header="0.3" footer="0.3"/>
  <pageSetup scale="7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51"/>
  <sheetViews>
    <sheetView rightToLeft="1" zoomScale="85" zoomScaleNormal="85" workbookViewId="0">
      <pane ySplit="5" topLeftCell="A26" activePane="bottomLeft" state="frozen"/>
      <selection pane="bottomLeft" activeCell="A29" sqref="A29"/>
    </sheetView>
  </sheetViews>
  <sheetFormatPr defaultColWidth="9" defaultRowHeight="14.4" x14ac:dyDescent="0.3"/>
  <cols>
    <col min="1" max="1" width="14.109375" customWidth="1"/>
    <col min="2" max="2" width="11.6640625" customWidth="1"/>
    <col min="3" max="3" width="12.88671875" bestFit="1" customWidth="1"/>
    <col min="4" max="4" width="37.44140625" bestFit="1" customWidth="1"/>
    <col min="5" max="5" width="20.44140625" bestFit="1" customWidth="1"/>
    <col min="8" max="8" width="6.44140625" customWidth="1"/>
    <col min="9" max="9" width="11" bestFit="1" customWidth="1"/>
    <col min="10" max="10" width="38.109375" bestFit="1" customWidth="1"/>
    <col min="11" max="11" width="25.109375" customWidth="1"/>
    <col min="12" max="12" width="38.109375" bestFit="1" customWidth="1"/>
    <col min="13" max="13" width="18.109375" customWidth="1"/>
    <col min="14" max="14" width="19" customWidth="1"/>
    <col min="15" max="15" width="16.21875" bestFit="1" customWidth="1"/>
    <col min="16" max="16" width="16.6640625" style="252" bestFit="1" customWidth="1"/>
    <col min="17" max="17" width="12.5546875" bestFit="1" customWidth="1"/>
  </cols>
  <sheetData>
    <row r="1" spans="1:17" ht="15.6" x14ac:dyDescent="0.3">
      <c r="A1" s="1"/>
      <c r="B1" s="1"/>
      <c r="C1" s="1"/>
      <c r="D1" s="1"/>
      <c r="E1" s="2"/>
      <c r="F1" s="1"/>
    </row>
    <row r="2" spans="1:17" ht="21.75" customHeight="1" x14ac:dyDescent="0.3">
      <c r="A2" s="3">
        <f>SUBTOTAL(9,A5:A151)</f>
        <v>2008200</v>
      </c>
      <c r="B2" s="3">
        <f>SUBTOTAL(9,B5:B151)</f>
        <v>3177200</v>
      </c>
      <c r="C2" s="3">
        <f>A2-B2</f>
        <v>-1169000</v>
      </c>
      <c r="D2" s="1"/>
      <c r="E2" s="2"/>
      <c r="F2" s="1"/>
    </row>
    <row r="3" spans="1:17" ht="29.25" customHeight="1" x14ac:dyDescent="0.3">
      <c r="A3" s="6" t="s">
        <v>377</v>
      </c>
      <c r="B3" s="6"/>
      <c r="C3" s="6"/>
      <c r="D3" s="5" t="s">
        <v>1</v>
      </c>
      <c r="E3" s="6"/>
      <c r="F3" s="6"/>
    </row>
    <row r="4" spans="1:17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7" ht="0.75" customHeight="1" x14ac:dyDescent="0.3">
      <c r="A5" s="7"/>
      <c r="B5" s="7"/>
      <c r="C5" s="7">
        <v>0</v>
      </c>
      <c r="D5" s="7"/>
      <c r="E5" s="8"/>
      <c r="F5" s="7"/>
    </row>
    <row r="6" spans="1:17" ht="15.6" x14ac:dyDescent="0.3">
      <c r="A6" s="53"/>
      <c r="B6" s="53">
        <v>122100</v>
      </c>
      <c r="C6" s="53">
        <f>IF(A6&gt;0,C5+A6-B6,C5-B6)</f>
        <v>-122100</v>
      </c>
      <c r="D6" s="77" t="s">
        <v>378</v>
      </c>
      <c r="E6" s="50"/>
      <c r="F6" s="183" t="s">
        <v>407</v>
      </c>
      <c r="H6" s="268">
        <v>24</v>
      </c>
      <c r="I6" s="268"/>
      <c r="J6" s="268" t="s">
        <v>381</v>
      </c>
      <c r="K6" s="268"/>
      <c r="L6" s="268"/>
      <c r="M6" s="268"/>
      <c r="N6" s="268"/>
      <c r="O6" s="268" t="s">
        <v>382</v>
      </c>
      <c r="P6" s="268"/>
      <c r="Q6" s="15"/>
    </row>
    <row r="7" spans="1:17" ht="15.6" x14ac:dyDescent="0.3">
      <c r="A7" s="184"/>
      <c r="B7" s="53">
        <v>220000</v>
      </c>
      <c r="C7" s="53">
        <f t="shared" ref="C7:C76" si="0">IF(A7&gt;0,C6+A7-B7,C6-B7)</f>
        <v>-342100</v>
      </c>
      <c r="D7" s="77" t="s">
        <v>380</v>
      </c>
      <c r="E7" s="148"/>
      <c r="F7" s="183" t="s">
        <v>407</v>
      </c>
      <c r="H7" s="7" t="s">
        <v>40</v>
      </c>
      <c r="I7" s="7" t="s">
        <v>6</v>
      </c>
      <c r="J7" s="7" t="s">
        <v>5</v>
      </c>
      <c r="K7" s="41" t="s">
        <v>383</v>
      </c>
      <c r="L7" s="41" t="s">
        <v>384</v>
      </c>
      <c r="M7" s="41" t="s">
        <v>385</v>
      </c>
      <c r="N7" s="41" t="s">
        <v>42</v>
      </c>
      <c r="O7" s="7" t="s">
        <v>43</v>
      </c>
      <c r="P7" s="253" t="s">
        <v>386</v>
      </c>
      <c r="Q7" s="15"/>
    </row>
    <row r="8" spans="1:17" ht="15.6" x14ac:dyDescent="0.3">
      <c r="A8" s="185"/>
      <c r="B8" s="53">
        <v>220400</v>
      </c>
      <c r="C8" s="53">
        <f t="shared" si="0"/>
        <v>-562500</v>
      </c>
      <c r="D8" s="164" t="s">
        <v>379</v>
      </c>
      <c r="E8" s="165"/>
      <c r="F8" s="183" t="s">
        <v>407</v>
      </c>
      <c r="H8" s="7">
        <v>1</v>
      </c>
      <c r="I8" s="8"/>
      <c r="J8" s="8" t="s">
        <v>387</v>
      </c>
      <c r="K8" s="179">
        <v>2</v>
      </c>
      <c r="L8" s="41">
        <v>155000</v>
      </c>
      <c r="M8" s="41">
        <f>K8*L8</f>
        <v>310000</v>
      </c>
      <c r="N8" s="41"/>
      <c r="O8" s="7">
        <f>M8</f>
        <v>310000</v>
      </c>
      <c r="P8" s="253" t="s">
        <v>388</v>
      </c>
      <c r="Q8" s="15"/>
    </row>
    <row r="9" spans="1:17" ht="15.6" x14ac:dyDescent="0.3">
      <c r="A9" s="177">
        <v>59800</v>
      </c>
      <c r="B9" s="3"/>
      <c r="C9" s="3">
        <f t="shared" si="0"/>
        <v>-502700</v>
      </c>
      <c r="D9" s="75"/>
      <c r="E9" s="121"/>
      <c r="F9" s="58"/>
      <c r="H9" s="7">
        <v>2</v>
      </c>
      <c r="I9" s="8"/>
      <c r="J9" s="8" t="s">
        <v>389</v>
      </c>
      <c r="K9" s="179">
        <v>8</v>
      </c>
      <c r="L9" s="41">
        <v>4850</v>
      </c>
      <c r="M9" s="41">
        <f t="shared" ref="M9:M18" si="1">K9*L9</f>
        <v>38800</v>
      </c>
      <c r="N9" s="41"/>
      <c r="O9" s="7">
        <f t="shared" ref="O9:O11" si="2">M9</f>
        <v>38800</v>
      </c>
      <c r="P9" s="253" t="s">
        <v>390</v>
      </c>
      <c r="Q9" s="15"/>
    </row>
    <row r="10" spans="1:17" ht="15.6" x14ac:dyDescent="0.3">
      <c r="A10" s="74">
        <v>315000</v>
      </c>
      <c r="B10" s="3"/>
      <c r="C10" s="3">
        <f t="shared" si="0"/>
        <v>-187700</v>
      </c>
      <c r="D10" s="75" t="s">
        <v>28</v>
      </c>
      <c r="E10" s="52" t="s">
        <v>237</v>
      </c>
      <c r="F10" s="58"/>
      <c r="H10" s="7">
        <v>3</v>
      </c>
      <c r="I10" s="8"/>
      <c r="J10" s="8" t="s">
        <v>391</v>
      </c>
      <c r="K10" s="179">
        <v>10</v>
      </c>
      <c r="L10" s="41">
        <v>1000</v>
      </c>
      <c r="M10" s="41">
        <f t="shared" si="1"/>
        <v>10000</v>
      </c>
      <c r="N10" s="41"/>
      <c r="O10" s="7">
        <f t="shared" si="2"/>
        <v>10000</v>
      </c>
      <c r="P10" s="253" t="s">
        <v>392</v>
      </c>
      <c r="Q10" s="15"/>
    </row>
    <row r="11" spans="1:17" ht="15.6" x14ac:dyDescent="0.3">
      <c r="A11" s="74">
        <v>187000</v>
      </c>
      <c r="B11" s="3"/>
      <c r="C11" s="3">
        <f t="shared" si="0"/>
        <v>-700</v>
      </c>
      <c r="D11" s="75" t="s">
        <v>28</v>
      </c>
      <c r="E11" s="52" t="s">
        <v>237</v>
      </c>
      <c r="F11" s="58"/>
      <c r="H11" s="7"/>
      <c r="I11" s="8"/>
      <c r="J11" s="8" t="s">
        <v>393</v>
      </c>
      <c r="K11" s="179">
        <v>10</v>
      </c>
      <c r="L11" s="41">
        <v>750</v>
      </c>
      <c r="M11" s="41">
        <f t="shared" si="1"/>
        <v>7500</v>
      </c>
      <c r="N11" s="41"/>
      <c r="O11" s="7">
        <f t="shared" si="2"/>
        <v>7500</v>
      </c>
      <c r="P11" s="253" t="s">
        <v>392</v>
      </c>
      <c r="Q11" s="15"/>
    </row>
    <row r="12" spans="1:17" ht="15.6" x14ac:dyDescent="0.3">
      <c r="A12" s="178"/>
      <c r="B12" s="3">
        <f>17200</f>
        <v>17200</v>
      </c>
      <c r="C12" s="3">
        <f t="shared" si="0"/>
        <v>-17900</v>
      </c>
      <c r="D12" s="57" t="s">
        <v>492</v>
      </c>
      <c r="E12" s="8" t="s">
        <v>500</v>
      </c>
      <c r="F12" s="269" t="s">
        <v>501</v>
      </c>
      <c r="H12" s="51"/>
      <c r="I12" s="180"/>
      <c r="J12" s="180" t="s">
        <v>394</v>
      </c>
      <c r="K12" s="181"/>
      <c r="L12" s="49"/>
      <c r="M12" s="49">
        <f t="shared" si="1"/>
        <v>0</v>
      </c>
      <c r="N12" s="105"/>
      <c r="O12" s="182">
        <f>SUM(O8:O11)-N12</f>
        <v>366300</v>
      </c>
      <c r="P12" s="258"/>
      <c r="Q12" s="15"/>
    </row>
    <row r="13" spans="1:17" ht="15.6" x14ac:dyDescent="0.3">
      <c r="A13" s="33"/>
      <c r="B13" s="3">
        <v>58000</v>
      </c>
      <c r="C13" s="3">
        <f t="shared" si="0"/>
        <v>-75900</v>
      </c>
      <c r="D13" s="57" t="s">
        <v>493</v>
      </c>
      <c r="E13" s="8" t="s">
        <v>500</v>
      </c>
      <c r="F13" s="270"/>
      <c r="H13" s="7"/>
      <c r="I13" s="8"/>
      <c r="J13" s="103" t="s">
        <v>55</v>
      </c>
      <c r="K13" s="179"/>
      <c r="L13" s="41"/>
      <c r="M13" s="41">
        <f t="shared" si="1"/>
        <v>0</v>
      </c>
      <c r="N13" s="104"/>
      <c r="O13" s="7">
        <f>O12-N13</f>
        <v>366300</v>
      </c>
      <c r="P13" s="260"/>
      <c r="Q13" s="15"/>
    </row>
    <row r="14" spans="1:17" ht="15.6" x14ac:dyDescent="0.3">
      <c r="A14" s="33"/>
      <c r="B14" s="3">
        <v>23000</v>
      </c>
      <c r="C14" s="3">
        <f t="shared" si="0"/>
        <v>-98900</v>
      </c>
      <c r="D14" s="78" t="s">
        <v>494</v>
      </c>
      <c r="E14" s="8" t="s">
        <v>500</v>
      </c>
      <c r="F14" s="270"/>
      <c r="H14" s="7">
        <v>1</v>
      </c>
      <c r="I14" s="8" t="s">
        <v>65</v>
      </c>
      <c r="J14" s="8" t="s">
        <v>395</v>
      </c>
      <c r="K14" s="179"/>
      <c r="L14" s="41"/>
      <c r="M14" s="41">
        <f t="shared" si="1"/>
        <v>0</v>
      </c>
      <c r="N14" s="104">
        <f>366300/3</f>
        <v>122100</v>
      </c>
      <c r="O14" s="7">
        <f t="shared" ref="O14:O18" si="3">O13-N14</f>
        <v>244200</v>
      </c>
      <c r="P14" s="260"/>
      <c r="Q14" s="15"/>
    </row>
    <row r="15" spans="1:17" ht="15.6" x14ac:dyDescent="0.3">
      <c r="A15" s="33"/>
      <c r="B15" s="3">
        <v>210000</v>
      </c>
      <c r="C15" s="3">
        <f t="shared" si="0"/>
        <v>-308900</v>
      </c>
      <c r="D15" s="78" t="s">
        <v>495</v>
      </c>
      <c r="E15" s="8" t="s">
        <v>500</v>
      </c>
      <c r="F15" s="270"/>
      <c r="H15" s="7">
        <v>2</v>
      </c>
      <c r="I15" s="8" t="s">
        <v>294</v>
      </c>
      <c r="J15" s="8" t="s">
        <v>396</v>
      </c>
      <c r="K15" s="179"/>
      <c r="L15" s="41"/>
      <c r="M15" s="41">
        <f t="shared" si="1"/>
        <v>0</v>
      </c>
      <c r="N15" s="104">
        <f>366300/3</f>
        <v>122100</v>
      </c>
      <c r="O15" s="7">
        <f t="shared" si="3"/>
        <v>122100</v>
      </c>
      <c r="P15" s="260"/>
      <c r="Q15" s="15"/>
    </row>
    <row r="16" spans="1:17" ht="15.6" x14ac:dyDescent="0.3">
      <c r="A16" s="33"/>
      <c r="B16" s="3">
        <v>232500</v>
      </c>
      <c r="C16" s="3">
        <f t="shared" si="0"/>
        <v>-541400</v>
      </c>
      <c r="D16" s="78" t="s">
        <v>496</v>
      </c>
      <c r="E16" s="8" t="s">
        <v>500</v>
      </c>
      <c r="F16" s="270"/>
      <c r="H16" s="7">
        <v>3</v>
      </c>
      <c r="I16" s="8" t="s">
        <v>9</v>
      </c>
      <c r="J16" s="8" t="s">
        <v>397</v>
      </c>
      <c r="K16" s="179"/>
      <c r="L16" s="41"/>
      <c r="M16" s="41">
        <f t="shared" si="1"/>
        <v>0</v>
      </c>
      <c r="N16" s="104">
        <f>366300/3</f>
        <v>122100</v>
      </c>
      <c r="O16" s="7">
        <f t="shared" si="3"/>
        <v>0</v>
      </c>
      <c r="P16" s="256" t="s">
        <v>483</v>
      </c>
      <c r="Q16" s="15"/>
    </row>
    <row r="17" spans="1:17" ht="15.6" x14ac:dyDescent="0.3">
      <c r="A17" s="3"/>
      <c r="B17" s="3">
        <v>235000</v>
      </c>
      <c r="C17" s="3">
        <f t="shared" si="0"/>
        <v>-776400</v>
      </c>
      <c r="D17" s="78" t="s">
        <v>497</v>
      </c>
      <c r="E17" s="8" t="s">
        <v>500</v>
      </c>
      <c r="F17" s="270"/>
      <c r="H17" s="7"/>
      <c r="I17" s="8"/>
      <c r="J17" s="8"/>
      <c r="K17" s="179"/>
      <c r="L17" s="41"/>
      <c r="M17" s="41">
        <f t="shared" si="1"/>
        <v>0</v>
      </c>
      <c r="N17" s="41"/>
      <c r="O17" s="7">
        <f t="shared" si="3"/>
        <v>0</v>
      </c>
      <c r="P17" s="253"/>
      <c r="Q17" s="15"/>
    </row>
    <row r="18" spans="1:17" ht="15.6" x14ac:dyDescent="0.3">
      <c r="A18" s="3"/>
      <c r="B18" s="3">
        <v>170000</v>
      </c>
      <c r="C18" s="3">
        <f t="shared" si="0"/>
        <v>-946400</v>
      </c>
      <c r="D18" s="57" t="s">
        <v>498</v>
      </c>
      <c r="E18" s="8" t="s">
        <v>500</v>
      </c>
      <c r="F18" s="270"/>
      <c r="H18" s="7"/>
      <c r="I18" s="8"/>
      <c r="J18" s="8"/>
      <c r="K18" s="179"/>
      <c r="L18" s="41"/>
      <c r="M18" s="41">
        <f t="shared" si="1"/>
        <v>0</v>
      </c>
      <c r="N18" s="41"/>
      <c r="O18" s="7">
        <f t="shared" si="3"/>
        <v>0</v>
      </c>
      <c r="P18" s="253"/>
      <c r="Q18" s="15"/>
    </row>
    <row r="19" spans="1:17" ht="15.6" x14ac:dyDescent="0.3">
      <c r="A19" s="3"/>
      <c r="B19" s="3">
        <v>40000</v>
      </c>
      <c r="C19" s="3">
        <f t="shared" si="0"/>
        <v>-986400</v>
      </c>
      <c r="D19" s="57" t="s">
        <v>499</v>
      </c>
      <c r="E19" s="8" t="s">
        <v>500</v>
      </c>
      <c r="F19" s="271"/>
      <c r="H19" s="15"/>
      <c r="I19" s="15"/>
      <c r="J19" s="15"/>
      <c r="K19" s="15"/>
      <c r="L19" s="15"/>
      <c r="M19" s="15"/>
      <c r="N19" s="15"/>
      <c r="O19" s="15"/>
      <c r="P19" s="261"/>
      <c r="Q19" s="15"/>
    </row>
    <row r="20" spans="1:17" ht="15.6" x14ac:dyDescent="0.3">
      <c r="A20" s="3">
        <v>329000</v>
      </c>
      <c r="B20" s="3"/>
      <c r="C20" s="3">
        <f t="shared" si="0"/>
        <v>-657400</v>
      </c>
      <c r="D20" s="7" t="s">
        <v>535</v>
      </c>
      <c r="E20" s="8">
        <v>46301</v>
      </c>
      <c r="F20" s="58"/>
      <c r="H20" s="15"/>
      <c r="I20" s="15"/>
      <c r="J20" s="15"/>
      <c r="K20" s="15"/>
      <c r="L20" s="15"/>
      <c r="M20" s="15"/>
      <c r="N20" s="15"/>
      <c r="O20" s="15"/>
      <c r="P20" s="261"/>
      <c r="Q20" s="15"/>
    </row>
    <row r="21" spans="1:17" ht="15.6" x14ac:dyDescent="0.3">
      <c r="A21" s="3">
        <v>329000</v>
      </c>
      <c r="B21" s="3"/>
      <c r="C21" s="3">
        <f t="shared" si="0"/>
        <v>-328400</v>
      </c>
      <c r="D21" s="7" t="s">
        <v>547</v>
      </c>
      <c r="E21" s="8">
        <v>46246</v>
      </c>
      <c r="F21" s="58"/>
      <c r="H21" s="15"/>
      <c r="I21" s="15"/>
      <c r="J21" s="15"/>
      <c r="K21" s="15"/>
      <c r="L21" s="15"/>
      <c r="M21" s="15"/>
      <c r="N21" s="15"/>
      <c r="O21" s="15"/>
      <c r="P21" s="261"/>
      <c r="Q21" s="15"/>
    </row>
    <row r="22" spans="1:17" ht="15.6" x14ac:dyDescent="0.3">
      <c r="A22" s="3">
        <v>327700</v>
      </c>
      <c r="B22" s="3"/>
      <c r="C22" s="3">
        <f t="shared" si="0"/>
        <v>-700</v>
      </c>
      <c r="D22" s="7"/>
      <c r="E22" s="8">
        <v>46250</v>
      </c>
      <c r="F22" s="58"/>
      <c r="H22" s="15"/>
      <c r="I22" s="15"/>
      <c r="J22" s="15"/>
      <c r="K22" s="15"/>
      <c r="L22" s="15"/>
      <c r="M22" s="15"/>
      <c r="N22" s="15"/>
      <c r="O22" s="15"/>
      <c r="P22" s="261"/>
      <c r="Q22" s="15"/>
    </row>
    <row r="23" spans="1:17" ht="15.6" x14ac:dyDescent="0.3">
      <c r="A23" s="3">
        <v>700</v>
      </c>
      <c r="B23" s="3"/>
      <c r="C23" s="3">
        <f t="shared" si="0"/>
        <v>0</v>
      </c>
      <c r="D23" s="7" t="s">
        <v>564</v>
      </c>
      <c r="E23" s="8">
        <v>46255</v>
      </c>
      <c r="F23" s="58"/>
      <c r="H23" s="15"/>
      <c r="I23" s="15"/>
      <c r="J23" s="15"/>
      <c r="K23" s="15"/>
      <c r="L23" s="15"/>
      <c r="M23" s="15"/>
      <c r="N23" s="15"/>
      <c r="O23" s="15"/>
      <c r="P23" s="261"/>
      <c r="Q23" s="15"/>
    </row>
    <row r="24" spans="1:17" ht="15.6" x14ac:dyDescent="0.3">
      <c r="A24" s="3"/>
      <c r="B24" s="3">
        <v>6600</v>
      </c>
      <c r="C24" s="3">
        <f t="shared" si="0"/>
        <v>-6600</v>
      </c>
      <c r="D24" s="7" t="s">
        <v>565</v>
      </c>
      <c r="E24" s="8">
        <v>46256</v>
      </c>
      <c r="F24" s="58"/>
      <c r="H24" s="15"/>
      <c r="I24" s="15"/>
      <c r="J24" s="15"/>
      <c r="K24" s="15"/>
      <c r="L24" s="15"/>
      <c r="M24" s="15"/>
      <c r="N24" s="15"/>
      <c r="O24" s="15"/>
      <c r="P24" s="261"/>
      <c r="Q24" s="15"/>
    </row>
    <row r="25" spans="1:17" ht="15.6" x14ac:dyDescent="0.3">
      <c r="A25" s="3"/>
      <c r="B25" s="3">
        <v>1362400</v>
      </c>
      <c r="C25" s="3">
        <f t="shared" si="0"/>
        <v>-1369000</v>
      </c>
      <c r="D25" s="7" t="s">
        <v>566</v>
      </c>
      <c r="E25" s="8">
        <v>46258</v>
      </c>
      <c r="F25" s="58"/>
      <c r="H25" s="268">
        <v>25</v>
      </c>
      <c r="I25" s="268"/>
      <c r="J25" s="268" t="s">
        <v>398</v>
      </c>
      <c r="K25" s="268"/>
      <c r="L25" s="268"/>
      <c r="M25" s="268"/>
      <c r="N25" s="268"/>
      <c r="O25" s="268" t="s">
        <v>382</v>
      </c>
      <c r="P25" s="268"/>
      <c r="Q25" s="15"/>
    </row>
    <row r="26" spans="1:17" ht="15.6" x14ac:dyDescent="0.3">
      <c r="A26" s="3"/>
      <c r="B26" s="3">
        <v>20000</v>
      </c>
      <c r="C26" s="3">
        <f t="shared" si="0"/>
        <v>-1389000</v>
      </c>
      <c r="D26" s="7" t="s">
        <v>567</v>
      </c>
      <c r="E26" s="8">
        <v>46261</v>
      </c>
      <c r="F26" s="58"/>
      <c r="H26" s="7" t="s">
        <v>40</v>
      </c>
      <c r="I26" s="7" t="s">
        <v>6</v>
      </c>
      <c r="J26" s="7" t="s">
        <v>5</v>
      </c>
      <c r="K26" s="41" t="s">
        <v>383</v>
      </c>
      <c r="L26" s="41" t="s">
        <v>384</v>
      </c>
      <c r="M26" s="41" t="s">
        <v>385</v>
      </c>
      <c r="N26" s="41" t="s">
        <v>42</v>
      </c>
      <c r="O26" s="7" t="s">
        <v>43</v>
      </c>
      <c r="P26" s="253" t="s">
        <v>386</v>
      </c>
      <c r="Q26" s="15"/>
    </row>
    <row r="27" spans="1:17" ht="15.6" x14ac:dyDescent="0.3">
      <c r="A27" s="3"/>
      <c r="B27" s="3">
        <v>240000</v>
      </c>
      <c r="C27" s="3">
        <f t="shared" si="0"/>
        <v>-1629000</v>
      </c>
      <c r="D27" s="7" t="s">
        <v>568</v>
      </c>
      <c r="E27" s="8">
        <v>46261</v>
      </c>
      <c r="F27" s="58"/>
      <c r="H27" s="7">
        <v>1</v>
      </c>
      <c r="I27" s="8"/>
      <c r="J27" s="8" t="s">
        <v>399</v>
      </c>
      <c r="K27" s="179">
        <v>14</v>
      </c>
      <c r="L27" s="41">
        <v>21000</v>
      </c>
      <c r="M27" s="41">
        <f>K27*L27</f>
        <v>294000</v>
      </c>
      <c r="N27" s="41"/>
      <c r="O27" s="7">
        <f>M27</f>
        <v>294000</v>
      </c>
      <c r="P27" s="253" t="s">
        <v>392</v>
      </c>
      <c r="Q27" s="15"/>
    </row>
    <row r="28" spans="1:17" ht="15.6" x14ac:dyDescent="0.3">
      <c r="A28" s="3">
        <v>460000</v>
      </c>
      <c r="B28" s="3"/>
      <c r="C28" s="3">
        <f t="shared" si="0"/>
        <v>-1169000</v>
      </c>
      <c r="D28" s="7" t="s">
        <v>576</v>
      </c>
      <c r="E28" s="8">
        <v>46308</v>
      </c>
      <c r="F28" s="58"/>
      <c r="H28" s="7">
        <v>2</v>
      </c>
      <c r="I28" s="8"/>
      <c r="J28" s="8" t="s">
        <v>400</v>
      </c>
      <c r="K28" s="179">
        <v>16</v>
      </c>
      <c r="L28" s="41">
        <v>15750</v>
      </c>
      <c r="M28" s="41">
        <f t="shared" ref="M28:M38" si="4">K28*L28</f>
        <v>252000</v>
      </c>
      <c r="N28" s="41"/>
      <c r="O28" s="7">
        <f t="shared" ref="O28:O31" si="5">M28</f>
        <v>252000</v>
      </c>
      <c r="P28" s="253" t="s">
        <v>392</v>
      </c>
      <c r="Q28" s="15"/>
    </row>
    <row r="29" spans="1:17" ht="15.6" x14ac:dyDescent="0.3">
      <c r="A29" s="3"/>
      <c r="B29" s="3"/>
      <c r="C29" s="3">
        <f t="shared" si="0"/>
        <v>-1169000</v>
      </c>
      <c r="D29" s="7"/>
      <c r="E29" s="8"/>
      <c r="F29" s="58"/>
      <c r="H29" s="7">
        <v>3</v>
      </c>
      <c r="I29" s="8"/>
      <c r="J29" s="8" t="s">
        <v>401</v>
      </c>
      <c r="K29" s="179">
        <v>6</v>
      </c>
      <c r="L29" s="41">
        <v>4000</v>
      </c>
      <c r="M29" s="41">
        <f t="shared" si="4"/>
        <v>24000</v>
      </c>
      <c r="N29" s="41"/>
      <c r="O29" s="7">
        <f t="shared" si="5"/>
        <v>24000</v>
      </c>
      <c r="P29" s="253" t="s">
        <v>402</v>
      </c>
      <c r="Q29" s="15"/>
    </row>
    <row r="30" spans="1:17" ht="15.6" x14ac:dyDescent="0.3">
      <c r="A30" s="3"/>
      <c r="B30" s="3"/>
      <c r="C30" s="3">
        <f t="shared" si="0"/>
        <v>-1169000</v>
      </c>
      <c r="D30" s="7"/>
      <c r="E30" s="8"/>
      <c r="F30" s="58"/>
      <c r="H30" s="7">
        <v>4</v>
      </c>
      <c r="I30" s="8"/>
      <c r="J30" s="8" t="s">
        <v>403</v>
      </c>
      <c r="K30" s="179">
        <v>6</v>
      </c>
      <c r="L30" s="41">
        <v>11300</v>
      </c>
      <c r="M30" s="41">
        <f t="shared" si="4"/>
        <v>67800</v>
      </c>
      <c r="N30" s="41"/>
      <c r="O30" s="7">
        <f t="shared" si="5"/>
        <v>67800</v>
      </c>
      <c r="P30" s="253" t="s">
        <v>404</v>
      </c>
      <c r="Q30" s="15"/>
    </row>
    <row r="31" spans="1:17" ht="15.6" x14ac:dyDescent="0.3">
      <c r="A31" s="3"/>
      <c r="B31" s="3"/>
      <c r="C31" s="3">
        <f t="shared" si="0"/>
        <v>-1169000</v>
      </c>
      <c r="D31" s="7"/>
      <c r="E31" s="8"/>
      <c r="F31" s="58"/>
      <c r="H31" s="7">
        <v>5</v>
      </c>
      <c r="I31" s="8"/>
      <c r="J31" s="103" t="s">
        <v>405</v>
      </c>
      <c r="K31" s="179">
        <v>4</v>
      </c>
      <c r="L31" s="41">
        <v>5650</v>
      </c>
      <c r="M31" s="41">
        <f t="shared" si="4"/>
        <v>22600</v>
      </c>
      <c r="N31" s="41"/>
      <c r="O31" s="7">
        <f t="shared" si="5"/>
        <v>22600</v>
      </c>
      <c r="P31" s="253" t="s">
        <v>406</v>
      </c>
      <c r="Q31" s="15"/>
    </row>
    <row r="32" spans="1:17" ht="15.6" x14ac:dyDescent="0.3">
      <c r="A32" s="3"/>
      <c r="B32" s="3"/>
      <c r="C32" s="3">
        <f t="shared" si="0"/>
        <v>-1169000</v>
      </c>
      <c r="D32" s="7"/>
      <c r="E32" s="8"/>
      <c r="F32" s="58"/>
      <c r="H32" s="51"/>
      <c r="I32" s="180"/>
      <c r="J32" s="180" t="s">
        <v>394</v>
      </c>
      <c r="K32" s="181"/>
      <c r="L32" s="49"/>
      <c r="M32" s="49">
        <f t="shared" si="4"/>
        <v>0</v>
      </c>
      <c r="N32" s="105"/>
      <c r="O32" s="182">
        <f>SUM(O27:O31)</f>
        <v>660400</v>
      </c>
      <c r="P32" s="258"/>
      <c r="Q32" s="15"/>
    </row>
    <row r="33" spans="1:17" ht="15.6" x14ac:dyDescent="0.3">
      <c r="A33" s="3"/>
      <c r="B33" s="3"/>
      <c r="C33" s="3">
        <f t="shared" si="0"/>
        <v>-1169000</v>
      </c>
      <c r="D33" s="7"/>
      <c r="E33" s="8"/>
      <c r="F33" s="58"/>
      <c r="H33" s="7"/>
      <c r="I33" s="8"/>
      <c r="J33" s="103" t="s">
        <v>55</v>
      </c>
      <c r="K33" s="179"/>
      <c r="L33" s="41"/>
      <c r="M33" s="41">
        <f t="shared" si="4"/>
        <v>0</v>
      </c>
      <c r="N33" s="104"/>
      <c r="O33" s="7">
        <f>O32-N33</f>
        <v>660400</v>
      </c>
      <c r="P33" s="260"/>
      <c r="Q33" s="15"/>
    </row>
    <row r="34" spans="1:17" ht="15.6" x14ac:dyDescent="0.3">
      <c r="A34" s="3"/>
      <c r="B34" s="3"/>
      <c r="C34" s="3">
        <f t="shared" si="0"/>
        <v>-1169000</v>
      </c>
      <c r="D34" s="7"/>
      <c r="E34" s="8"/>
      <c r="F34" s="58"/>
      <c r="H34" s="7">
        <v>1</v>
      </c>
      <c r="I34" s="8" t="s">
        <v>9</v>
      </c>
      <c r="J34" s="8" t="s">
        <v>395</v>
      </c>
      <c r="K34" s="179"/>
      <c r="L34" s="41"/>
      <c r="M34" s="41">
        <f t="shared" si="4"/>
        <v>0</v>
      </c>
      <c r="N34" s="104">
        <v>220000</v>
      </c>
      <c r="O34" s="7">
        <f t="shared" ref="O34:O38" si="6">O33-N34</f>
        <v>440400</v>
      </c>
      <c r="P34" s="260"/>
      <c r="Q34" s="15"/>
    </row>
    <row r="35" spans="1:17" ht="15.6" x14ac:dyDescent="0.3">
      <c r="A35" s="3"/>
      <c r="B35" s="3"/>
      <c r="C35" s="3">
        <f t="shared" si="0"/>
        <v>-1169000</v>
      </c>
      <c r="D35" s="7"/>
      <c r="E35" s="8"/>
      <c r="F35" s="58"/>
      <c r="H35" s="7">
        <v>2</v>
      </c>
      <c r="I35" s="8" t="s">
        <v>19</v>
      </c>
      <c r="J35" s="8" t="s">
        <v>396</v>
      </c>
      <c r="K35" s="179"/>
      <c r="L35" s="41"/>
      <c r="M35" s="41">
        <f t="shared" si="4"/>
        <v>0</v>
      </c>
      <c r="N35" s="104">
        <v>220000</v>
      </c>
      <c r="O35" s="7">
        <f t="shared" si="6"/>
        <v>220400</v>
      </c>
      <c r="P35" s="260"/>
      <c r="Q35" s="15"/>
    </row>
    <row r="36" spans="1:17" ht="15.6" x14ac:dyDescent="0.3">
      <c r="A36" s="3"/>
      <c r="B36" s="3"/>
      <c r="C36" s="3">
        <f t="shared" si="0"/>
        <v>-1169000</v>
      </c>
      <c r="D36" s="7"/>
      <c r="E36" s="8"/>
      <c r="F36" s="58"/>
      <c r="H36" s="7">
        <v>3</v>
      </c>
      <c r="I36" s="8" t="s">
        <v>67</v>
      </c>
      <c r="J36" s="8" t="s">
        <v>397</v>
      </c>
      <c r="K36" s="179"/>
      <c r="L36" s="41"/>
      <c r="M36" s="41">
        <f t="shared" si="4"/>
        <v>0</v>
      </c>
      <c r="N36" s="104">
        <v>220400</v>
      </c>
      <c r="O36" s="7">
        <f t="shared" si="6"/>
        <v>0</v>
      </c>
      <c r="P36" s="253"/>
      <c r="Q36" s="15"/>
    </row>
    <row r="37" spans="1:17" ht="15.6" x14ac:dyDescent="0.3">
      <c r="A37" s="3"/>
      <c r="B37" s="3"/>
      <c r="C37" s="3">
        <f t="shared" si="0"/>
        <v>-1169000</v>
      </c>
      <c r="D37" s="7"/>
      <c r="E37" s="8"/>
      <c r="F37" s="58"/>
      <c r="H37" s="7"/>
      <c r="I37" s="8"/>
      <c r="J37" s="8"/>
      <c r="K37" s="179"/>
      <c r="L37" s="41"/>
      <c r="M37" s="41">
        <f t="shared" si="4"/>
        <v>0</v>
      </c>
      <c r="N37" s="41"/>
      <c r="O37" s="7">
        <f t="shared" si="6"/>
        <v>0</v>
      </c>
      <c r="P37" s="256" t="s">
        <v>483</v>
      </c>
      <c r="Q37" s="15"/>
    </row>
    <row r="38" spans="1:17" ht="15.6" x14ac:dyDescent="0.3">
      <c r="A38" s="3"/>
      <c r="B38" s="3"/>
      <c r="C38" s="3">
        <f t="shared" si="0"/>
        <v>-1169000</v>
      </c>
      <c r="D38" s="7"/>
      <c r="E38" s="8"/>
      <c r="F38" s="58"/>
      <c r="H38" s="7"/>
      <c r="I38" s="8"/>
      <c r="J38" s="8"/>
      <c r="K38" s="179"/>
      <c r="L38" s="41"/>
      <c r="M38" s="41">
        <f t="shared" si="4"/>
        <v>0</v>
      </c>
      <c r="N38" s="41"/>
      <c r="O38" s="7">
        <f t="shared" si="6"/>
        <v>0</v>
      </c>
      <c r="P38" s="253"/>
      <c r="Q38" s="15"/>
    </row>
    <row r="39" spans="1:17" ht="15.6" x14ac:dyDescent="0.3">
      <c r="A39" s="3"/>
      <c r="B39" s="3"/>
      <c r="C39" s="3">
        <f t="shared" si="0"/>
        <v>-1169000</v>
      </c>
      <c r="D39" s="7"/>
      <c r="E39" s="8"/>
      <c r="F39" s="58"/>
    </row>
    <row r="40" spans="1:17" ht="15.6" x14ac:dyDescent="0.3">
      <c r="A40" s="3"/>
      <c r="B40" s="3"/>
      <c r="C40" s="3">
        <f t="shared" si="0"/>
        <v>-1169000</v>
      </c>
      <c r="D40" s="7"/>
      <c r="E40" s="8"/>
      <c r="F40" s="58"/>
    </row>
    <row r="41" spans="1:17" ht="15.6" x14ac:dyDescent="0.3">
      <c r="A41" s="3"/>
      <c r="B41" s="3"/>
      <c r="C41" s="3">
        <f t="shared" si="0"/>
        <v>-1169000</v>
      </c>
      <c r="D41" s="7"/>
      <c r="E41" s="8"/>
      <c r="F41" s="58"/>
    </row>
    <row r="42" spans="1:17" ht="15.6" x14ac:dyDescent="0.3">
      <c r="A42" s="3"/>
      <c r="B42" s="3"/>
      <c r="C42" s="3">
        <f t="shared" si="0"/>
        <v>-1169000</v>
      </c>
      <c r="D42" s="7"/>
      <c r="E42" s="8"/>
      <c r="F42" s="58"/>
    </row>
    <row r="43" spans="1:17" ht="15.6" x14ac:dyDescent="0.3">
      <c r="A43" s="3"/>
      <c r="B43" s="3"/>
      <c r="C43" s="3">
        <f t="shared" si="0"/>
        <v>-1169000</v>
      </c>
      <c r="D43" s="7"/>
      <c r="E43" s="8"/>
      <c r="F43" s="58"/>
      <c r="H43" s="268">
        <v>26</v>
      </c>
      <c r="I43" s="268"/>
      <c r="J43" s="268" t="s">
        <v>484</v>
      </c>
      <c r="K43" s="268"/>
      <c r="L43" s="268"/>
      <c r="M43" s="268"/>
      <c r="N43" s="268"/>
      <c r="O43" s="268" t="s">
        <v>525</v>
      </c>
      <c r="P43" s="268"/>
      <c r="Q43" s="208"/>
    </row>
    <row r="44" spans="1:17" ht="15.6" x14ac:dyDescent="0.3">
      <c r="A44" s="3"/>
      <c r="B44" s="3"/>
      <c r="C44" s="3">
        <f t="shared" si="0"/>
        <v>-1169000</v>
      </c>
      <c r="D44" s="7"/>
      <c r="E44" s="8"/>
      <c r="F44" s="58"/>
      <c r="H44" s="7" t="s">
        <v>40</v>
      </c>
      <c r="I44" s="7" t="s">
        <v>6</v>
      </c>
      <c r="J44" s="7" t="s">
        <v>5</v>
      </c>
      <c r="K44" s="41" t="s">
        <v>383</v>
      </c>
      <c r="L44" s="41" t="s">
        <v>384</v>
      </c>
      <c r="M44" s="41" t="s">
        <v>385</v>
      </c>
      <c r="N44" s="41" t="s">
        <v>42</v>
      </c>
      <c r="O44" s="7" t="s">
        <v>43</v>
      </c>
      <c r="P44" s="253" t="s">
        <v>524</v>
      </c>
      <c r="Q44" s="208"/>
    </row>
    <row r="45" spans="1:17" ht="15.6" x14ac:dyDescent="0.3">
      <c r="A45" s="3"/>
      <c r="B45" s="3"/>
      <c r="C45" s="3">
        <f t="shared" si="0"/>
        <v>-1169000</v>
      </c>
      <c r="D45" s="7"/>
      <c r="E45" s="8"/>
      <c r="F45" s="58"/>
      <c r="H45" s="7">
        <v>1</v>
      </c>
      <c r="I45" s="8" t="s">
        <v>500</v>
      </c>
      <c r="J45" s="57" t="s">
        <v>492</v>
      </c>
      <c r="K45" s="179">
        <v>4</v>
      </c>
      <c r="L45" s="41">
        <v>4300</v>
      </c>
      <c r="M45" s="41">
        <f>K45*L45</f>
        <v>17200</v>
      </c>
      <c r="N45" s="41"/>
      <c r="O45" s="7">
        <f>M45</f>
        <v>17200</v>
      </c>
      <c r="P45" s="253"/>
      <c r="Q45" s="208"/>
    </row>
    <row r="46" spans="1:17" ht="15.6" x14ac:dyDescent="0.3">
      <c r="A46" s="3"/>
      <c r="B46" s="3"/>
      <c r="C46" s="3">
        <f t="shared" si="0"/>
        <v>-1169000</v>
      </c>
      <c r="D46" s="7"/>
      <c r="E46" s="8"/>
      <c r="F46" s="58"/>
      <c r="H46" s="7">
        <v>2</v>
      </c>
      <c r="I46" s="8" t="s">
        <v>500</v>
      </c>
      <c r="J46" s="57" t="s">
        <v>493</v>
      </c>
      <c r="K46" s="179">
        <v>10</v>
      </c>
      <c r="L46" s="41">
        <v>5800</v>
      </c>
      <c r="M46" s="41">
        <f t="shared" ref="M46:M53" si="7">K46*L46</f>
        <v>58000</v>
      </c>
      <c r="N46" s="41"/>
      <c r="O46" s="7">
        <f t="shared" ref="O46:O53" si="8">M46</f>
        <v>58000</v>
      </c>
      <c r="P46" s="253"/>
      <c r="Q46" s="208"/>
    </row>
    <row r="47" spans="1:17" ht="15.6" x14ac:dyDescent="0.3">
      <c r="A47" s="3"/>
      <c r="B47" s="3"/>
      <c r="C47" s="3">
        <f t="shared" si="0"/>
        <v>-1169000</v>
      </c>
      <c r="D47" s="7"/>
      <c r="E47" s="8"/>
      <c r="F47" s="58"/>
      <c r="H47" s="7">
        <v>3</v>
      </c>
      <c r="I47" s="8" t="s">
        <v>500</v>
      </c>
      <c r="J47" s="78" t="s">
        <v>494</v>
      </c>
      <c r="K47" s="179">
        <v>4</v>
      </c>
      <c r="L47" s="41">
        <v>5750</v>
      </c>
      <c r="M47" s="41">
        <f t="shared" si="7"/>
        <v>23000</v>
      </c>
      <c r="N47" s="41"/>
      <c r="O47" s="7">
        <f t="shared" si="8"/>
        <v>23000</v>
      </c>
      <c r="P47" s="253"/>
      <c r="Q47" s="208"/>
    </row>
    <row r="48" spans="1:17" ht="15.6" x14ac:dyDescent="0.3">
      <c r="A48" s="3"/>
      <c r="B48" s="3"/>
      <c r="C48" s="3">
        <f t="shared" si="0"/>
        <v>-1169000</v>
      </c>
      <c r="D48" s="7"/>
      <c r="E48" s="8"/>
      <c r="F48" s="58"/>
      <c r="H48" s="7">
        <v>4</v>
      </c>
      <c r="I48" s="8" t="s">
        <v>500</v>
      </c>
      <c r="J48" s="78" t="s">
        <v>495</v>
      </c>
      <c r="K48" s="179">
        <v>10</v>
      </c>
      <c r="L48" s="41">
        <v>21000</v>
      </c>
      <c r="M48" s="41">
        <f t="shared" si="7"/>
        <v>210000</v>
      </c>
      <c r="N48" s="41"/>
      <c r="O48" s="7">
        <f t="shared" si="8"/>
        <v>210000</v>
      </c>
      <c r="P48" s="253"/>
      <c r="Q48" s="208"/>
    </row>
    <row r="49" spans="1:17" ht="15.6" x14ac:dyDescent="0.3">
      <c r="A49" s="3"/>
      <c r="B49" s="3"/>
      <c r="C49" s="3">
        <f t="shared" si="0"/>
        <v>-1169000</v>
      </c>
      <c r="D49" s="7"/>
      <c r="E49" s="8"/>
      <c r="F49" s="58"/>
      <c r="H49" s="7">
        <v>5</v>
      </c>
      <c r="I49" s="8" t="s">
        <v>500</v>
      </c>
      <c r="J49" s="78" t="s">
        <v>496</v>
      </c>
      <c r="K49" s="179">
        <v>10</v>
      </c>
      <c r="L49" s="41">
        <v>23250</v>
      </c>
      <c r="M49" s="41">
        <f t="shared" si="7"/>
        <v>232500</v>
      </c>
      <c r="N49" s="41"/>
      <c r="O49" s="7">
        <f t="shared" si="8"/>
        <v>232500</v>
      </c>
      <c r="P49" s="253"/>
      <c r="Q49" s="208"/>
    </row>
    <row r="50" spans="1:17" ht="15.6" x14ac:dyDescent="0.3">
      <c r="A50" s="3"/>
      <c r="B50" s="3"/>
      <c r="C50" s="3">
        <f t="shared" si="0"/>
        <v>-1169000</v>
      </c>
      <c r="D50" s="7"/>
      <c r="E50" s="8"/>
      <c r="F50" s="58"/>
      <c r="H50" s="7">
        <v>6</v>
      </c>
      <c r="I50" s="8" t="s">
        <v>500</v>
      </c>
      <c r="J50" s="78" t="s">
        <v>497</v>
      </c>
      <c r="K50" s="179">
        <v>10</v>
      </c>
      <c r="L50" s="41">
        <v>23500</v>
      </c>
      <c r="M50" s="41">
        <f t="shared" si="7"/>
        <v>235000</v>
      </c>
      <c r="N50" s="41"/>
      <c r="O50" s="7">
        <f t="shared" si="8"/>
        <v>235000</v>
      </c>
      <c r="P50" s="253"/>
      <c r="Q50" s="208"/>
    </row>
    <row r="51" spans="1:17" ht="15.6" x14ac:dyDescent="0.3">
      <c r="A51" s="3"/>
      <c r="B51" s="3"/>
      <c r="C51" s="3">
        <f t="shared" si="0"/>
        <v>-1169000</v>
      </c>
      <c r="D51" s="7"/>
      <c r="E51" s="8"/>
      <c r="F51" s="58"/>
      <c r="H51" s="7">
        <v>7</v>
      </c>
      <c r="I51" s="8" t="s">
        <v>500</v>
      </c>
      <c r="J51" s="57" t="s">
        <v>498</v>
      </c>
      <c r="K51" s="179">
        <v>20</v>
      </c>
      <c r="L51" s="41">
        <v>8500</v>
      </c>
      <c r="M51" s="41">
        <f t="shared" si="7"/>
        <v>170000</v>
      </c>
      <c r="N51" s="41"/>
      <c r="O51" s="7">
        <f t="shared" si="8"/>
        <v>170000</v>
      </c>
      <c r="P51" s="253"/>
      <c r="Q51" s="208"/>
    </row>
    <row r="52" spans="1:17" ht="15.6" x14ac:dyDescent="0.3">
      <c r="A52" s="3"/>
      <c r="B52" s="3"/>
      <c r="C52" s="3">
        <f t="shared" si="0"/>
        <v>-1169000</v>
      </c>
      <c r="D52" s="7"/>
      <c r="E52" s="8"/>
      <c r="F52" s="58"/>
      <c r="H52" s="7">
        <v>8</v>
      </c>
      <c r="I52" s="8" t="s">
        <v>500</v>
      </c>
      <c r="J52" s="57" t="s">
        <v>499</v>
      </c>
      <c r="K52" s="179">
        <v>10</v>
      </c>
      <c r="L52" s="41">
        <v>4000</v>
      </c>
      <c r="M52" s="41">
        <f t="shared" si="7"/>
        <v>40000</v>
      </c>
      <c r="N52" s="41"/>
      <c r="O52" s="7">
        <f t="shared" si="8"/>
        <v>40000</v>
      </c>
      <c r="P52" s="253"/>
      <c r="Q52" s="208"/>
    </row>
    <row r="53" spans="1:17" ht="15.6" x14ac:dyDescent="0.3">
      <c r="A53" s="3"/>
      <c r="B53" s="3"/>
      <c r="C53" s="3">
        <f t="shared" si="0"/>
        <v>-1169000</v>
      </c>
      <c r="D53" s="7"/>
      <c r="E53" s="8"/>
      <c r="F53" s="58"/>
      <c r="H53" s="7">
        <v>9</v>
      </c>
      <c r="I53" s="8"/>
      <c r="J53" s="8"/>
      <c r="K53" s="179"/>
      <c r="L53" s="41"/>
      <c r="M53" s="41">
        <f t="shared" si="7"/>
        <v>0</v>
      </c>
      <c r="N53" s="41"/>
      <c r="O53" s="7">
        <f t="shared" si="8"/>
        <v>0</v>
      </c>
      <c r="P53" s="253"/>
      <c r="Q53" s="208"/>
    </row>
    <row r="54" spans="1:17" ht="15.6" x14ac:dyDescent="0.3">
      <c r="A54" s="3"/>
      <c r="B54" s="3"/>
      <c r="C54" s="3">
        <f t="shared" si="0"/>
        <v>-1169000</v>
      </c>
      <c r="D54" s="7"/>
      <c r="E54" s="8"/>
      <c r="F54" s="58"/>
      <c r="H54" s="7">
        <v>10</v>
      </c>
      <c r="I54" s="8"/>
      <c r="J54" s="8"/>
      <c r="K54" s="179"/>
      <c r="L54" s="41"/>
      <c r="M54" s="41">
        <f t="shared" ref="M54:M62" si="9">K54*L54</f>
        <v>0</v>
      </c>
      <c r="N54" s="41"/>
      <c r="O54" s="7">
        <f t="shared" ref="O54:O55" si="10">M54</f>
        <v>0</v>
      </c>
      <c r="P54" s="253"/>
      <c r="Q54" s="208"/>
    </row>
    <row r="55" spans="1:17" ht="15.6" x14ac:dyDescent="0.3">
      <c r="A55" s="3"/>
      <c r="B55" s="3"/>
      <c r="C55" s="3">
        <f t="shared" si="0"/>
        <v>-1169000</v>
      </c>
      <c r="D55" s="7"/>
      <c r="E55" s="8"/>
      <c r="F55" s="58"/>
      <c r="H55" s="7">
        <v>11</v>
      </c>
      <c r="I55" s="8"/>
      <c r="J55" s="103"/>
      <c r="K55" s="179"/>
      <c r="L55" s="41"/>
      <c r="M55" s="41">
        <f t="shared" si="9"/>
        <v>0</v>
      </c>
      <c r="N55" s="41"/>
      <c r="O55" s="7">
        <f t="shared" si="10"/>
        <v>0</v>
      </c>
      <c r="P55" s="253"/>
      <c r="Q55" s="208"/>
    </row>
    <row r="56" spans="1:17" ht="15.6" x14ac:dyDescent="0.3">
      <c r="A56" s="3"/>
      <c r="B56" s="3"/>
      <c r="C56" s="3">
        <f t="shared" si="0"/>
        <v>-1169000</v>
      </c>
      <c r="D56" s="7"/>
      <c r="E56" s="8"/>
      <c r="F56" s="58"/>
      <c r="H56" s="51"/>
      <c r="I56" s="180"/>
      <c r="J56" s="180" t="s">
        <v>394</v>
      </c>
      <c r="K56" s="181"/>
      <c r="L56" s="49"/>
      <c r="M56" s="49">
        <f t="shared" si="9"/>
        <v>0</v>
      </c>
      <c r="N56" s="105"/>
      <c r="O56" s="182">
        <f>SUM(O45:O55)</f>
        <v>985700</v>
      </c>
      <c r="P56" s="258"/>
      <c r="Q56" s="208"/>
    </row>
    <row r="57" spans="1:17" ht="15.6" x14ac:dyDescent="0.3">
      <c r="A57" s="3"/>
      <c r="B57" s="3"/>
      <c r="C57" s="3">
        <f t="shared" si="0"/>
        <v>-1169000</v>
      </c>
      <c r="D57" s="7"/>
      <c r="E57" s="8"/>
      <c r="F57" s="58"/>
      <c r="H57" s="7"/>
      <c r="I57" s="8"/>
      <c r="J57" s="103" t="s">
        <v>55</v>
      </c>
      <c r="K57" s="179"/>
      <c r="L57" s="41"/>
      <c r="M57" s="41">
        <f t="shared" si="9"/>
        <v>0</v>
      </c>
      <c r="N57" s="104"/>
      <c r="O57" s="7">
        <f>O56-N57</f>
        <v>985700</v>
      </c>
      <c r="P57" s="260"/>
      <c r="Q57" s="208"/>
    </row>
    <row r="58" spans="1:17" ht="15.6" x14ac:dyDescent="0.3">
      <c r="A58" s="3"/>
      <c r="B58" s="3"/>
      <c r="C58" s="3">
        <f t="shared" si="0"/>
        <v>-1169000</v>
      </c>
      <c r="D58" s="7"/>
      <c r="E58" s="8"/>
      <c r="F58" s="58"/>
      <c r="H58" s="7">
        <v>1</v>
      </c>
      <c r="I58" s="8">
        <v>46301</v>
      </c>
      <c r="J58" s="8" t="s">
        <v>395</v>
      </c>
      <c r="K58" s="179"/>
      <c r="L58" s="41"/>
      <c r="M58" s="41">
        <f t="shared" si="9"/>
        <v>0</v>
      </c>
      <c r="N58" s="104">
        <v>329000</v>
      </c>
      <c r="O58" s="7">
        <f t="shared" ref="O58:O62" si="11">O57-N58</f>
        <v>656700</v>
      </c>
      <c r="P58" s="262" t="s">
        <v>521</v>
      </c>
      <c r="Q58" s="208" t="s">
        <v>536</v>
      </c>
    </row>
    <row r="59" spans="1:17" ht="15.6" x14ac:dyDescent="0.3">
      <c r="A59" s="3"/>
      <c r="B59" s="3"/>
      <c r="C59" s="3">
        <f t="shared" si="0"/>
        <v>-1169000</v>
      </c>
      <c r="D59" s="7"/>
      <c r="E59" s="8"/>
      <c r="F59" s="58"/>
      <c r="H59" s="7">
        <v>2</v>
      </c>
      <c r="I59" s="8">
        <v>46302</v>
      </c>
      <c r="J59" s="8" t="s">
        <v>396</v>
      </c>
      <c r="K59" s="179"/>
      <c r="L59" s="41"/>
      <c r="M59" s="41">
        <f t="shared" si="9"/>
        <v>0</v>
      </c>
      <c r="N59" s="104">
        <v>329000</v>
      </c>
      <c r="O59" s="7">
        <f t="shared" si="11"/>
        <v>327700</v>
      </c>
      <c r="P59" s="262" t="s">
        <v>522</v>
      </c>
      <c r="Q59" s="208"/>
    </row>
    <row r="60" spans="1:17" ht="15.6" x14ac:dyDescent="0.3">
      <c r="A60" s="3"/>
      <c r="B60" s="3"/>
      <c r="C60" s="3">
        <f t="shared" si="0"/>
        <v>-1169000</v>
      </c>
      <c r="D60" s="7"/>
      <c r="E60" s="8"/>
      <c r="F60" s="58"/>
      <c r="H60" s="7">
        <v>3</v>
      </c>
      <c r="I60" s="8">
        <v>46303</v>
      </c>
      <c r="J60" s="8" t="s">
        <v>397</v>
      </c>
      <c r="K60" s="179"/>
      <c r="L60" s="41"/>
      <c r="M60" s="41">
        <f t="shared" si="9"/>
        <v>0</v>
      </c>
      <c r="N60" s="104">
        <v>327700</v>
      </c>
      <c r="O60" s="7">
        <f t="shared" si="11"/>
        <v>0</v>
      </c>
      <c r="P60" s="262" t="s">
        <v>523</v>
      </c>
      <c r="Q60" s="208"/>
    </row>
    <row r="61" spans="1:17" ht="15.6" x14ac:dyDescent="0.3">
      <c r="A61" s="3"/>
      <c r="B61" s="3"/>
      <c r="C61" s="3">
        <f t="shared" si="0"/>
        <v>-1169000</v>
      </c>
      <c r="D61" s="7"/>
      <c r="E61" s="8"/>
      <c r="F61" s="58"/>
      <c r="H61" s="7"/>
      <c r="I61" s="8"/>
      <c r="J61" s="8"/>
      <c r="K61" s="179"/>
      <c r="L61" s="41"/>
      <c r="M61" s="41">
        <f t="shared" si="9"/>
        <v>0</v>
      </c>
      <c r="N61" s="41"/>
      <c r="O61" s="7">
        <f t="shared" si="11"/>
        <v>0</v>
      </c>
      <c r="P61" s="253"/>
      <c r="Q61" s="208"/>
    </row>
    <row r="62" spans="1:17" ht="15.6" x14ac:dyDescent="0.3">
      <c r="A62" s="3"/>
      <c r="B62" s="3"/>
      <c r="C62" s="3">
        <f t="shared" si="0"/>
        <v>-1169000</v>
      </c>
      <c r="D62" s="7"/>
      <c r="E62" s="8"/>
      <c r="F62" s="58"/>
      <c r="H62" s="7"/>
      <c r="I62" s="8"/>
      <c r="J62" s="8"/>
      <c r="K62" s="179"/>
      <c r="L62" s="41"/>
      <c r="M62" s="41">
        <f t="shared" si="9"/>
        <v>0</v>
      </c>
      <c r="N62" s="41"/>
      <c r="O62" s="7">
        <f t="shared" si="11"/>
        <v>0</v>
      </c>
      <c r="P62" s="253"/>
      <c r="Q62" s="208"/>
    </row>
    <row r="63" spans="1:17" ht="15.6" x14ac:dyDescent="0.3">
      <c r="A63" s="3"/>
      <c r="B63" s="3"/>
      <c r="C63" s="3">
        <f t="shared" si="0"/>
        <v>-1169000</v>
      </c>
      <c r="D63" s="7"/>
      <c r="E63" s="8"/>
      <c r="F63" s="58"/>
    </row>
    <row r="64" spans="1:17" ht="15.6" x14ac:dyDescent="0.3">
      <c r="A64" s="3"/>
      <c r="B64" s="3"/>
      <c r="C64" s="3">
        <f t="shared" si="0"/>
        <v>-1169000</v>
      </c>
      <c r="D64" s="7"/>
      <c r="E64" s="8"/>
      <c r="F64" s="58"/>
    </row>
    <row r="65" spans="1:12" ht="15.6" x14ac:dyDescent="0.3">
      <c r="A65" s="3"/>
      <c r="B65" s="3"/>
      <c r="C65" s="3">
        <f t="shared" si="0"/>
        <v>-1169000</v>
      </c>
      <c r="D65" s="7"/>
      <c r="E65" s="8"/>
      <c r="F65" s="58"/>
    </row>
    <row r="66" spans="1:12" ht="15.6" x14ac:dyDescent="0.3">
      <c r="A66" s="3"/>
      <c r="B66" s="3"/>
      <c r="C66" s="3">
        <f t="shared" si="0"/>
        <v>-1169000</v>
      </c>
      <c r="D66" s="7"/>
      <c r="E66" s="8"/>
      <c r="F66" s="58"/>
    </row>
    <row r="67" spans="1:12" ht="15.6" x14ac:dyDescent="0.3">
      <c r="A67" s="3"/>
      <c r="B67" s="3"/>
      <c r="C67" s="3">
        <f t="shared" si="0"/>
        <v>-1169000</v>
      </c>
      <c r="D67" s="7"/>
      <c r="E67" s="8"/>
      <c r="F67" s="58"/>
    </row>
    <row r="68" spans="1:12" ht="15.6" x14ac:dyDescent="0.3">
      <c r="A68" s="3"/>
      <c r="B68" s="3"/>
      <c r="C68" s="3">
        <f t="shared" si="0"/>
        <v>-1169000</v>
      </c>
      <c r="D68" s="7"/>
      <c r="E68" s="8"/>
      <c r="F68" s="58"/>
    </row>
    <row r="69" spans="1:12" ht="15.6" x14ac:dyDescent="0.3">
      <c r="A69" s="3"/>
      <c r="B69" s="3"/>
      <c r="C69" s="3">
        <f t="shared" si="0"/>
        <v>-1169000</v>
      </c>
      <c r="D69" s="52"/>
      <c r="E69" s="8"/>
      <c r="F69" s="58"/>
      <c r="J69" s="3">
        <f>17200</f>
        <v>17200</v>
      </c>
      <c r="L69" s="57" t="s">
        <v>492</v>
      </c>
    </row>
    <row r="70" spans="1:12" ht="15.6" x14ac:dyDescent="0.3">
      <c r="A70" s="3"/>
      <c r="B70" s="3"/>
      <c r="C70" s="3">
        <f t="shared" si="0"/>
        <v>-1169000</v>
      </c>
      <c r="D70" s="7"/>
      <c r="E70" s="8"/>
      <c r="F70" s="58"/>
      <c r="J70" s="3">
        <v>58000</v>
      </c>
      <c r="L70" s="57" t="s">
        <v>493</v>
      </c>
    </row>
    <row r="71" spans="1:12" ht="15.6" x14ac:dyDescent="0.3">
      <c r="A71" s="3"/>
      <c r="B71" s="3"/>
      <c r="C71" s="3">
        <f t="shared" si="0"/>
        <v>-1169000</v>
      </c>
      <c r="D71" s="7"/>
      <c r="E71" s="8"/>
      <c r="F71" s="58"/>
      <c r="J71" s="3">
        <v>23000</v>
      </c>
      <c r="L71" s="78" t="s">
        <v>494</v>
      </c>
    </row>
    <row r="72" spans="1:12" ht="15.6" x14ac:dyDescent="0.3">
      <c r="A72" s="3"/>
      <c r="B72" s="3"/>
      <c r="C72" s="3">
        <f t="shared" si="0"/>
        <v>-1169000</v>
      </c>
      <c r="D72" s="7"/>
      <c r="E72" s="8"/>
      <c r="F72" s="58"/>
      <c r="J72" s="3">
        <v>210000</v>
      </c>
      <c r="L72" s="78" t="s">
        <v>495</v>
      </c>
    </row>
    <row r="73" spans="1:12" ht="15.6" x14ac:dyDescent="0.3">
      <c r="A73" s="3"/>
      <c r="B73" s="3"/>
      <c r="C73" s="3">
        <f t="shared" si="0"/>
        <v>-1169000</v>
      </c>
      <c r="D73" s="7"/>
      <c r="E73" s="8"/>
      <c r="F73" s="58"/>
      <c r="J73" s="3">
        <v>232500</v>
      </c>
      <c r="L73" s="78" t="s">
        <v>496</v>
      </c>
    </row>
    <row r="74" spans="1:12" ht="15.6" x14ac:dyDescent="0.3">
      <c r="A74" s="3"/>
      <c r="B74" s="3"/>
      <c r="C74" s="3">
        <f t="shared" si="0"/>
        <v>-1169000</v>
      </c>
      <c r="D74" s="7"/>
      <c r="E74" s="8"/>
      <c r="F74" s="58"/>
      <c r="J74" s="3">
        <v>235000</v>
      </c>
      <c r="L74" s="78" t="s">
        <v>497</v>
      </c>
    </row>
    <row r="75" spans="1:12" ht="15.6" x14ac:dyDescent="0.3">
      <c r="A75" s="3"/>
      <c r="B75" s="3"/>
      <c r="C75" s="3">
        <f t="shared" si="0"/>
        <v>-1169000</v>
      </c>
      <c r="D75" s="7"/>
      <c r="E75" s="8"/>
      <c r="F75" s="58"/>
      <c r="J75" s="3">
        <v>170000</v>
      </c>
      <c r="L75" s="7" t="s">
        <v>498</v>
      </c>
    </row>
    <row r="76" spans="1:12" ht="15.6" x14ac:dyDescent="0.3">
      <c r="A76" s="3"/>
      <c r="B76" s="3"/>
      <c r="C76" s="3">
        <f t="shared" si="0"/>
        <v>-1169000</v>
      </c>
      <c r="D76" s="7"/>
      <c r="E76" s="8"/>
      <c r="F76" s="58"/>
      <c r="J76" s="3">
        <v>40000</v>
      </c>
      <c r="L76" s="7" t="s">
        <v>499</v>
      </c>
    </row>
    <row r="77" spans="1:12" ht="15.6" x14ac:dyDescent="0.3">
      <c r="A77" s="3"/>
      <c r="B77" s="3"/>
      <c r="C77" s="3">
        <f t="shared" ref="C77:C140" si="12">IF(A77&gt;0,C76+A77-B77,C76-B77)</f>
        <v>-1169000</v>
      </c>
      <c r="D77" s="7"/>
      <c r="E77" s="8"/>
      <c r="F77" s="58"/>
    </row>
    <row r="78" spans="1:12" ht="15.6" x14ac:dyDescent="0.3">
      <c r="A78" s="3"/>
      <c r="B78" s="3"/>
      <c r="C78" s="3">
        <f t="shared" si="12"/>
        <v>-1169000</v>
      </c>
      <c r="D78" s="7"/>
      <c r="E78" s="8"/>
      <c r="F78" s="58"/>
    </row>
    <row r="79" spans="1:12" ht="15.6" x14ac:dyDescent="0.3">
      <c r="A79" s="3"/>
      <c r="B79" s="3"/>
      <c r="C79" s="3">
        <f t="shared" si="12"/>
        <v>-1169000</v>
      </c>
      <c r="D79" s="7"/>
      <c r="E79" s="8"/>
      <c r="F79" s="58"/>
    </row>
    <row r="80" spans="1:12" ht="15.6" x14ac:dyDescent="0.3">
      <c r="A80" s="3"/>
      <c r="B80" s="3"/>
      <c r="C80" s="3">
        <f t="shared" si="12"/>
        <v>-1169000</v>
      </c>
      <c r="D80" s="7"/>
      <c r="E80" s="8"/>
      <c r="F80" s="58"/>
    </row>
    <row r="81" spans="1:17" ht="15.6" x14ac:dyDescent="0.3">
      <c r="A81" s="3"/>
      <c r="B81" s="3"/>
      <c r="C81" s="3">
        <f t="shared" si="12"/>
        <v>-1169000</v>
      </c>
      <c r="D81" s="7"/>
      <c r="E81" s="8"/>
      <c r="F81" s="58"/>
    </row>
    <row r="82" spans="1:17" ht="15.6" x14ac:dyDescent="0.3">
      <c r="A82" s="3"/>
      <c r="B82" s="3"/>
      <c r="C82" s="3">
        <f t="shared" si="12"/>
        <v>-1169000</v>
      </c>
      <c r="D82" s="7"/>
      <c r="E82" s="8"/>
      <c r="F82" s="58"/>
      <c r="I82" s="268" t="s">
        <v>563</v>
      </c>
      <c r="J82" s="268"/>
      <c r="K82" s="268"/>
      <c r="L82" s="268"/>
      <c r="M82" s="268"/>
      <c r="N82" s="268"/>
      <c r="O82" s="268"/>
      <c r="P82" s="268"/>
      <c r="Q82" s="268"/>
    </row>
    <row r="83" spans="1:17" ht="15.6" x14ac:dyDescent="0.3">
      <c r="A83" s="3"/>
      <c r="B83" s="3"/>
      <c r="C83" s="3">
        <f t="shared" si="12"/>
        <v>-1169000</v>
      </c>
      <c r="D83" s="7"/>
      <c r="E83" s="8"/>
      <c r="F83" s="58"/>
      <c r="I83" s="7" t="s">
        <v>40</v>
      </c>
      <c r="J83" s="7" t="s">
        <v>6</v>
      </c>
      <c r="K83" s="7" t="s">
        <v>5</v>
      </c>
      <c r="L83" s="41" t="s">
        <v>383</v>
      </c>
      <c r="M83" s="41" t="s">
        <v>384</v>
      </c>
      <c r="N83" s="41" t="s">
        <v>385</v>
      </c>
      <c r="O83" s="41" t="s">
        <v>42</v>
      </c>
      <c r="P83" s="253" t="s">
        <v>43</v>
      </c>
      <c r="Q83" s="7" t="s">
        <v>386</v>
      </c>
    </row>
    <row r="84" spans="1:17" ht="15.6" x14ac:dyDescent="0.3">
      <c r="A84" s="3"/>
      <c r="B84" s="3"/>
      <c r="C84" s="3">
        <f t="shared" si="12"/>
        <v>-1169000</v>
      </c>
      <c r="D84" s="7"/>
      <c r="E84" s="8"/>
      <c r="F84" s="58"/>
      <c r="I84" s="7">
        <v>1</v>
      </c>
      <c r="J84" s="8">
        <v>46258</v>
      </c>
      <c r="K84" s="8" t="s">
        <v>553</v>
      </c>
      <c r="L84" s="179">
        <v>20</v>
      </c>
      <c r="M84" s="41">
        <v>24750</v>
      </c>
      <c r="N84" s="41">
        <f>L84*M84</f>
        <v>495000</v>
      </c>
      <c r="O84" s="41"/>
      <c r="P84" s="253"/>
      <c r="Q84" s="7"/>
    </row>
    <row r="85" spans="1:17" ht="15.6" x14ac:dyDescent="0.3">
      <c r="A85" s="3"/>
      <c r="B85" s="3"/>
      <c r="C85" s="3">
        <f t="shared" si="12"/>
        <v>-1169000</v>
      </c>
      <c r="D85" s="7"/>
      <c r="E85" s="8"/>
      <c r="F85" s="58"/>
      <c r="I85" s="7">
        <v>2</v>
      </c>
      <c r="J85" s="8">
        <v>46258</v>
      </c>
      <c r="K85" s="8" t="s">
        <v>554</v>
      </c>
      <c r="L85" s="179">
        <v>10</v>
      </c>
      <c r="M85" s="41">
        <v>20500</v>
      </c>
      <c r="N85" s="41">
        <f t="shared" ref="N85:N101" si="13">L85*M85</f>
        <v>205000</v>
      </c>
      <c r="O85" s="41"/>
      <c r="P85" s="253"/>
      <c r="Q85" s="7"/>
    </row>
    <row r="86" spans="1:17" ht="15.6" x14ac:dyDescent="0.3">
      <c r="A86" s="3"/>
      <c r="B86" s="3"/>
      <c r="C86" s="3">
        <f t="shared" si="12"/>
        <v>-1169000</v>
      </c>
      <c r="D86" s="7"/>
      <c r="E86" s="8"/>
      <c r="F86" s="58"/>
      <c r="I86" s="7">
        <v>3</v>
      </c>
      <c r="J86" s="8">
        <v>46258</v>
      </c>
      <c r="K86" s="8" t="s">
        <v>555</v>
      </c>
      <c r="L86" s="179">
        <v>5</v>
      </c>
      <c r="M86" s="41">
        <v>4000</v>
      </c>
      <c r="N86" s="41">
        <f t="shared" si="13"/>
        <v>20000</v>
      </c>
      <c r="O86" s="41"/>
      <c r="P86" s="253"/>
      <c r="Q86" s="7"/>
    </row>
    <row r="87" spans="1:17" ht="15.6" x14ac:dyDescent="0.3">
      <c r="A87" s="3"/>
      <c r="B87" s="3"/>
      <c r="C87" s="3">
        <f t="shared" si="12"/>
        <v>-1169000</v>
      </c>
      <c r="D87" s="7"/>
      <c r="E87" s="8"/>
      <c r="F87" s="58"/>
      <c r="I87" s="7">
        <v>4</v>
      </c>
      <c r="J87" s="8">
        <v>46258</v>
      </c>
      <c r="K87" s="8" t="s">
        <v>556</v>
      </c>
      <c r="L87" s="179">
        <v>5</v>
      </c>
      <c r="M87" s="41">
        <v>13000</v>
      </c>
      <c r="N87" s="41">
        <f t="shared" si="13"/>
        <v>65000</v>
      </c>
      <c r="O87" s="41"/>
      <c r="P87" s="253"/>
      <c r="Q87" s="7"/>
    </row>
    <row r="88" spans="1:17" ht="15.6" x14ac:dyDescent="0.3">
      <c r="A88" s="3"/>
      <c r="B88" s="3"/>
      <c r="C88" s="3">
        <f t="shared" si="12"/>
        <v>-1169000</v>
      </c>
      <c r="D88" s="7"/>
      <c r="E88" s="8"/>
      <c r="F88" s="7"/>
      <c r="I88" s="7">
        <v>5</v>
      </c>
      <c r="J88" s="8">
        <v>46258</v>
      </c>
      <c r="K88" s="8" t="s">
        <v>557</v>
      </c>
      <c r="L88" s="179">
        <v>15</v>
      </c>
      <c r="M88" s="41">
        <v>8500</v>
      </c>
      <c r="N88" s="41">
        <f t="shared" si="13"/>
        <v>127500</v>
      </c>
      <c r="O88" s="41"/>
      <c r="P88" s="253"/>
      <c r="Q88" s="7"/>
    </row>
    <row r="89" spans="1:17" ht="15.6" x14ac:dyDescent="0.3">
      <c r="A89" s="3"/>
      <c r="B89" s="3"/>
      <c r="C89" s="3">
        <f t="shared" si="12"/>
        <v>-1169000</v>
      </c>
      <c r="D89" s="7"/>
      <c r="E89" s="8"/>
      <c r="F89" s="7"/>
      <c r="I89" s="7">
        <v>6</v>
      </c>
      <c r="J89" s="8">
        <v>46258</v>
      </c>
      <c r="K89" s="8" t="s">
        <v>558</v>
      </c>
      <c r="L89" s="179">
        <v>2</v>
      </c>
      <c r="M89" s="41">
        <v>152500</v>
      </c>
      <c r="N89" s="41">
        <f t="shared" si="13"/>
        <v>305000</v>
      </c>
      <c r="O89" s="41"/>
      <c r="P89" s="253"/>
      <c r="Q89" s="7"/>
    </row>
    <row r="90" spans="1:17" ht="15.6" x14ac:dyDescent="0.3">
      <c r="A90" s="3"/>
      <c r="B90" s="3"/>
      <c r="C90" s="3">
        <f t="shared" si="12"/>
        <v>-1169000</v>
      </c>
      <c r="D90" s="7"/>
      <c r="E90" s="8"/>
      <c r="F90" s="7"/>
      <c r="I90" s="7">
        <v>7</v>
      </c>
      <c r="J90" s="8">
        <v>46258</v>
      </c>
      <c r="K90" s="8" t="s">
        <v>559</v>
      </c>
      <c r="L90" s="179">
        <v>2</v>
      </c>
      <c r="M90" s="41">
        <v>34500</v>
      </c>
      <c r="N90" s="41">
        <f t="shared" si="13"/>
        <v>69000</v>
      </c>
      <c r="O90" s="41"/>
      <c r="P90" s="253"/>
      <c r="Q90" s="7"/>
    </row>
    <row r="91" spans="1:17" ht="15.6" x14ac:dyDescent="0.3">
      <c r="A91" s="3"/>
      <c r="B91" s="3"/>
      <c r="C91" s="3">
        <f t="shared" si="12"/>
        <v>-1169000</v>
      </c>
      <c r="D91" s="7"/>
      <c r="E91" s="8"/>
      <c r="F91" s="7"/>
      <c r="I91" s="7">
        <v>8</v>
      </c>
      <c r="J91" s="8">
        <v>46258</v>
      </c>
      <c r="K91" s="8" t="s">
        <v>560</v>
      </c>
      <c r="L91" s="179">
        <v>6</v>
      </c>
      <c r="M91" s="41">
        <v>5800</v>
      </c>
      <c r="N91" s="41">
        <f t="shared" si="13"/>
        <v>34800</v>
      </c>
      <c r="O91" s="41"/>
      <c r="P91" s="253"/>
      <c r="Q91" s="7"/>
    </row>
    <row r="92" spans="1:17" ht="15.6" x14ac:dyDescent="0.3">
      <c r="A92" s="3"/>
      <c r="B92" s="3"/>
      <c r="C92" s="3">
        <f t="shared" si="12"/>
        <v>-1169000</v>
      </c>
      <c r="D92" s="7"/>
      <c r="E92" s="8"/>
      <c r="F92" s="7"/>
      <c r="I92" s="7">
        <v>9</v>
      </c>
      <c r="J92" s="8">
        <v>46258</v>
      </c>
      <c r="K92" s="8" t="s">
        <v>561</v>
      </c>
      <c r="L92" s="179">
        <v>6</v>
      </c>
      <c r="M92" s="41">
        <v>6200</v>
      </c>
      <c r="N92" s="41">
        <f t="shared" si="13"/>
        <v>37200</v>
      </c>
      <c r="O92" s="41"/>
      <c r="P92" s="253"/>
      <c r="Q92" s="7"/>
    </row>
    <row r="93" spans="1:17" ht="15.6" x14ac:dyDescent="0.3">
      <c r="A93" s="3"/>
      <c r="B93" s="3"/>
      <c r="C93" s="3">
        <f t="shared" si="12"/>
        <v>-1169000</v>
      </c>
      <c r="D93" s="7"/>
      <c r="E93" s="8"/>
      <c r="F93" s="7"/>
      <c r="I93" s="7">
        <v>10</v>
      </c>
      <c r="J93" s="8">
        <v>46258</v>
      </c>
      <c r="K93" s="8" t="s">
        <v>562</v>
      </c>
      <c r="L93" s="179">
        <v>2</v>
      </c>
      <c r="M93" s="41">
        <v>2200</v>
      </c>
      <c r="N93" s="41">
        <f t="shared" si="13"/>
        <v>4400</v>
      </c>
      <c r="O93" s="41"/>
      <c r="P93" s="253"/>
      <c r="Q93" s="7"/>
    </row>
    <row r="94" spans="1:17" ht="15.6" x14ac:dyDescent="0.3">
      <c r="A94" s="3"/>
      <c r="B94" s="3"/>
      <c r="C94" s="3">
        <f t="shared" si="12"/>
        <v>-1169000</v>
      </c>
      <c r="D94" s="7"/>
      <c r="E94" s="8"/>
      <c r="F94" s="7"/>
      <c r="I94" s="7">
        <v>11</v>
      </c>
      <c r="J94" s="8">
        <v>46258</v>
      </c>
      <c r="K94" s="8" t="s">
        <v>555</v>
      </c>
      <c r="L94" s="179">
        <v>5</v>
      </c>
      <c r="M94" s="41">
        <v>4000</v>
      </c>
      <c r="N94" s="41">
        <f t="shared" si="13"/>
        <v>20000</v>
      </c>
      <c r="O94" s="41"/>
      <c r="P94" s="253"/>
      <c r="Q94" s="7"/>
    </row>
    <row r="95" spans="1:17" ht="15.6" x14ac:dyDescent="0.3">
      <c r="A95" s="3"/>
      <c r="B95" s="3"/>
      <c r="C95" s="3">
        <f t="shared" si="12"/>
        <v>-1169000</v>
      </c>
      <c r="D95" s="7"/>
      <c r="E95" s="8"/>
      <c r="F95" s="7"/>
      <c r="I95" s="51"/>
      <c r="J95" s="180"/>
      <c r="K95" s="180" t="s">
        <v>394</v>
      </c>
      <c r="L95" s="181"/>
      <c r="M95" s="49"/>
      <c r="N95" s="49">
        <f>SUM(N84:N94)</f>
        <v>1382900</v>
      </c>
      <c r="O95" s="105"/>
      <c r="P95" s="258">
        <f>SUM(P84:P94)-O95</f>
        <v>0</v>
      </c>
      <c r="Q95" s="51"/>
    </row>
    <row r="96" spans="1:17" ht="15.6" x14ac:dyDescent="0.3">
      <c r="A96" s="3"/>
      <c r="B96" s="3"/>
      <c r="C96" s="3">
        <f t="shared" si="12"/>
        <v>-1169000</v>
      </c>
      <c r="D96" s="7"/>
      <c r="E96" s="8"/>
      <c r="F96" s="7"/>
      <c r="I96" s="7"/>
      <c r="J96" s="8"/>
      <c r="K96" s="103" t="s">
        <v>55</v>
      </c>
      <c r="L96" s="179"/>
      <c r="M96" s="41"/>
      <c r="N96" s="41">
        <f t="shared" si="13"/>
        <v>0</v>
      </c>
      <c r="O96" s="104"/>
      <c r="P96" s="253">
        <f>P95-O96</f>
        <v>0</v>
      </c>
      <c r="Q96" s="58"/>
    </row>
    <row r="97" spans="1:17" ht="15.6" x14ac:dyDescent="0.3">
      <c r="A97" s="3"/>
      <c r="B97" s="3"/>
      <c r="C97" s="3">
        <f t="shared" si="12"/>
        <v>-1169000</v>
      </c>
      <c r="D97" s="7"/>
      <c r="E97" s="8"/>
      <c r="F97" s="7"/>
      <c r="I97" s="7">
        <v>1</v>
      </c>
      <c r="J97" s="8">
        <v>46290</v>
      </c>
      <c r="K97" s="8" t="s">
        <v>395</v>
      </c>
      <c r="L97" s="179"/>
      <c r="M97" s="41"/>
      <c r="N97" s="41">
        <f t="shared" si="13"/>
        <v>0</v>
      </c>
      <c r="O97" s="104">
        <v>460000</v>
      </c>
      <c r="P97" s="253">
        <f t="shared" ref="P97:P101" si="14">P96-O97</f>
        <v>-460000</v>
      </c>
      <c r="Q97" s="58"/>
    </row>
    <row r="98" spans="1:17" ht="15.6" x14ac:dyDescent="0.3">
      <c r="A98" s="3"/>
      <c r="B98" s="3"/>
      <c r="C98" s="3">
        <f t="shared" si="12"/>
        <v>-1169000</v>
      </c>
      <c r="D98" s="7"/>
      <c r="E98" s="8"/>
      <c r="F98" s="7"/>
      <c r="I98" s="7">
        <v>2</v>
      </c>
      <c r="J98" s="8">
        <v>46320</v>
      </c>
      <c r="K98" s="8" t="s">
        <v>396</v>
      </c>
      <c r="L98" s="179"/>
      <c r="M98" s="41"/>
      <c r="N98" s="41">
        <f t="shared" si="13"/>
        <v>0</v>
      </c>
      <c r="O98" s="104">
        <v>460000</v>
      </c>
      <c r="P98" s="253">
        <f t="shared" si="14"/>
        <v>-920000</v>
      </c>
      <c r="Q98" s="58"/>
    </row>
    <row r="99" spans="1:17" ht="15.6" x14ac:dyDescent="0.3">
      <c r="A99" s="3"/>
      <c r="B99" s="3"/>
      <c r="C99" s="3">
        <f t="shared" si="12"/>
        <v>-1169000</v>
      </c>
      <c r="D99" s="7"/>
      <c r="E99" s="8"/>
      <c r="F99" s="7"/>
      <c r="I99" s="7">
        <v>3</v>
      </c>
      <c r="J99" s="8">
        <v>46351</v>
      </c>
      <c r="K99" s="8" t="s">
        <v>397</v>
      </c>
      <c r="L99" s="179"/>
      <c r="M99" s="41"/>
      <c r="N99" s="41">
        <f t="shared" si="13"/>
        <v>0</v>
      </c>
      <c r="O99" s="104">
        <v>469000</v>
      </c>
      <c r="P99" s="253">
        <f t="shared" si="14"/>
        <v>-1389000</v>
      </c>
      <c r="Q99" s="176"/>
    </row>
    <row r="100" spans="1:17" ht="15.6" x14ac:dyDescent="0.3">
      <c r="A100" s="3"/>
      <c r="B100" s="3"/>
      <c r="C100" s="3">
        <f t="shared" si="12"/>
        <v>-1169000</v>
      </c>
      <c r="D100" s="7"/>
      <c r="E100" s="8"/>
      <c r="F100" s="7"/>
      <c r="I100" s="7">
        <v>4</v>
      </c>
      <c r="J100" s="8">
        <v>46351</v>
      </c>
      <c r="K100" s="8" t="s">
        <v>569</v>
      </c>
      <c r="L100" s="179"/>
      <c r="M100" s="41"/>
      <c r="N100" s="41">
        <f t="shared" si="13"/>
        <v>0</v>
      </c>
      <c r="O100" s="41">
        <v>240000</v>
      </c>
      <c r="P100" s="253">
        <f t="shared" si="14"/>
        <v>-1629000</v>
      </c>
      <c r="Q100" s="7"/>
    </row>
    <row r="101" spans="1:17" ht="15.6" x14ac:dyDescent="0.3">
      <c r="A101" s="3"/>
      <c r="B101" s="3"/>
      <c r="C101" s="3">
        <f t="shared" si="12"/>
        <v>-1169000</v>
      </c>
      <c r="D101" s="7"/>
      <c r="E101" s="8"/>
      <c r="F101" s="7"/>
      <c r="I101" s="7"/>
      <c r="J101" s="8"/>
      <c r="K101" s="8"/>
      <c r="L101" s="179"/>
      <c r="M101" s="41"/>
      <c r="N101" s="41">
        <f t="shared" si="13"/>
        <v>0</v>
      </c>
      <c r="O101" s="41"/>
      <c r="P101" s="253">
        <f t="shared" si="14"/>
        <v>-1629000</v>
      </c>
      <c r="Q101" s="7"/>
    </row>
    <row r="102" spans="1:17" ht="15.6" x14ac:dyDescent="0.3">
      <c r="A102" s="3"/>
      <c r="B102" s="3"/>
      <c r="C102" s="3">
        <f t="shared" si="12"/>
        <v>-1169000</v>
      </c>
      <c r="D102" s="7"/>
      <c r="E102" s="8"/>
      <c r="F102" s="7"/>
    </row>
    <row r="103" spans="1:17" ht="15.6" x14ac:dyDescent="0.3">
      <c r="A103" s="3"/>
      <c r="B103" s="3"/>
      <c r="C103" s="3">
        <f t="shared" si="12"/>
        <v>-1169000</v>
      </c>
      <c r="D103" s="7"/>
      <c r="E103" s="8"/>
      <c r="F103" s="7"/>
    </row>
    <row r="104" spans="1:17" ht="15.6" x14ac:dyDescent="0.3">
      <c r="A104" s="3"/>
      <c r="B104" s="3"/>
      <c r="C104" s="3">
        <f t="shared" si="12"/>
        <v>-1169000</v>
      </c>
      <c r="D104" s="7"/>
      <c r="E104" s="8"/>
      <c r="F104" s="7"/>
    </row>
    <row r="105" spans="1:17" ht="15.6" x14ac:dyDescent="0.3">
      <c r="A105" s="3"/>
      <c r="B105" s="3"/>
      <c r="C105" s="3">
        <f t="shared" si="12"/>
        <v>-1169000</v>
      </c>
      <c r="D105" s="7"/>
      <c r="E105" s="8"/>
      <c r="F105" s="7"/>
    </row>
    <row r="106" spans="1:17" ht="15.6" x14ac:dyDescent="0.3">
      <c r="A106" s="3"/>
      <c r="B106" s="3"/>
      <c r="C106" s="3">
        <f t="shared" si="12"/>
        <v>-1169000</v>
      </c>
      <c r="D106" s="7"/>
      <c r="E106" s="8"/>
      <c r="F106" s="7"/>
    </row>
    <row r="107" spans="1:17" ht="15.6" x14ac:dyDescent="0.3">
      <c r="A107" s="3"/>
      <c r="B107" s="3"/>
      <c r="C107" s="3">
        <f t="shared" si="12"/>
        <v>-1169000</v>
      </c>
      <c r="D107" s="7"/>
      <c r="E107" s="8"/>
      <c r="F107" s="7"/>
    </row>
    <row r="108" spans="1:17" ht="15.6" x14ac:dyDescent="0.3">
      <c r="A108" s="3"/>
      <c r="B108" s="3"/>
      <c r="C108" s="3">
        <f t="shared" si="12"/>
        <v>-1169000</v>
      </c>
      <c r="D108" s="7"/>
      <c r="E108" s="8"/>
      <c r="F108" s="7"/>
    </row>
    <row r="109" spans="1:17" ht="15.6" x14ac:dyDescent="0.3">
      <c r="A109" s="3"/>
      <c r="B109" s="3"/>
      <c r="C109" s="3">
        <f t="shared" si="12"/>
        <v>-1169000</v>
      </c>
      <c r="D109" s="7"/>
      <c r="E109" s="8"/>
      <c r="F109" s="7"/>
    </row>
    <row r="110" spans="1:17" ht="15.6" x14ac:dyDescent="0.3">
      <c r="A110" s="3"/>
      <c r="B110" s="3"/>
      <c r="C110" s="3">
        <f t="shared" si="12"/>
        <v>-1169000</v>
      </c>
      <c r="D110" s="7"/>
      <c r="E110" s="8"/>
      <c r="F110" s="7"/>
    </row>
    <row r="111" spans="1:17" ht="15.6" x14ac:dyDescent="0.3">
      <c r="A111" s="3"/>
      <c r="B111" s="3"/>
      <c r="C111" s="3">
        <f t="shared" si="12"/>
        <v>-1169000</v>
      </c>
      <c r="D111" s="7"/>
      <c r="E111" s="8"/>
      <c r="F111" s="7"/>
    </row>
    <row r="112" spans="1:17" ht="15.6" x14ac:dyDescent="0.3">
      <c r="A112" s="3"/>
      <c r="B112" s="3"/>
      <c r="C112" s="3">
        <f t="shared" si="12"/>
        <v>-1169000</v>
      </c>
      <c r="D112" s="7"/>
      <c r="E112" s="8"/>
      <c r="F112" s="7"/>
    </row>
    <row r="113" spans="1:6" ht="15.6" x14ac:dyDescent="0.3">
      <c r="A113" s="3"/>
      <c r="B113" s="3"/>
      <c r="C113" s="3">
        <f t="shared" si="12"/>
        <v>-1169000</v>
      </c>
      <c r="D113" s="7"/>
      <c r="E113" s="8"/>
      <c r="F113" s="7"/>
    </row>
    <row r="114" spans="1:6" ht="15.6" x14ac:dyDescent="0.3">
      <c r="A114" s="3"/>
      <c r="B114" s="3"/>
      <c r="C114" s="3">
        <f t="shared" si="12"/>
        <v>-1169000</v>
      </c>
      <c r="D114" s="7"/>
      <c r="E114" s="8"/>
      <c r="F114" s="7"/>
    </row>
    <row r="115" spans="1:6" ht="15.6" x14ac:dyDescent="0.3">
      <c r="A115" s="3"/>
      <c r="B115" s="3"/>
      <c r="C115" s="3">
        <f t="shared" si="12"/>
        <v>-1169000</v>
      </c>
      <c r="D115" s="7"/>
      <c r="E115" s="8"/>
      <c r="F115" s="7"/>
    </row>
    <row r="116" spans="1:6" ht="15.6" x14ac:dyDescent="0.3">
      <c r="A116" s="3"/>
      <c r="B116" s="3"/>
      <c r="C116" s="3">
        <f t="shared" si="12"/>
        <v>-1169000</v>
      </c>
      <c r="D116" s="7"/>
      <c r="E116" s="8"/>
      <c r="F116" s="7"/>
    </row>
    <row r="117" spans="1:6" ht="15.6" x14ac:dyDescent="0.3">
      <c r="A117" s="3"/>
      <c r="B117" s="3"/>
      <c r="C117" s="3">
        <f t="shared" si="12"/>
        <v>-1169000</v>
      </c>
      <c r="D117" s="7"/>
      <c r="E117" s="8"/>
      <c r="F117" s="7"/>
    </row>
    <row r="118" spans="1:6" ht="15.6" x14ac:dyDescent="0.3">
      <c r="A118" s="3"/>
      <c r="B118" s="3"/>
      <c r="C118" s="3">
        <f t="shared" si="12"/>
        <v>-1169000</v>
      </c>
      <c r="D118" s="7"/>
      <c r="E118" s="8"/>
      <c r="F118" s="7"/>
    </row>
    <row r="119" spans="1:6" ht="15.6" x14ac:dyDescent="0.3">
      <c r="A119" s="3"/>
      <c r="B119" s="3"/>
      <c r="C119" s="3">
        <f t="shared" si="12"/>
        <v>-1169000</v>
      </c>
      <c r="D119" s="7"/>
      <c r="E119" s="8"/>
      <c r="F119" s="7"/>
    </row>
    <row r="120" spans="1:6" ht="15.6" x14ac:dyDescent="0.3">
      <c r="A120" s="3"/>
      <c r="B120" s="3"/>
      <c r="C120" s="3">
        <f t="shared" si="12"/>
        <v>-1169000</v>
      </c>
      <c r="D120" s="7"/>
      <c r="E120" s="8"/>
      <c r="F120" s="7"/>
    </row>
    <row r="121" spans="1:6" ht="15.6" x14ac:dyDescent="0.3">
      <c r="A121" s="3"/>
      <c r="B121" s="3"/>
      <c r="C121" s="3">
        <f t="shared" si="12"/>
        <v>-1169000</v>
      </c>
      <c r="D121" s="7"/>
      <c r="E121" s="8"/>
      <c r="F121" s="7"/>
    </row>
    <row r="122" spans="1:6" ht="15.6" x14ac:dyDescent="0.3">
      <c r="A122" s="3"/>
      <c r="B122" s="3"/>
      <c r="C122" s="3">
        <f t="shared" si="12"/>
        <v>-1169000</v>
      </c>
      <c r="D122" s="7"/>
      <c r="E122" s="8"/>
      <c r="F122" s="7"/>
    </row>
    <row r="123" spans="1:6" ht="15.6" x14ac:dyDescent="0.3">
      <c r="A123" s="3"/>
      <c r="B123" s="3"/>
      <c r="C123" s="3">
        <f t="shared" si="12"/>
        <v>-1169000</v>
      </c>
      <c r="D123" s="7"/>
      <c r="E123" s="8"/>
      <c r="F123" s="7"/>
    </row>
    <row r="124" spans="1:6" ht="15.6" x14ac:dyDescent="0.3">
      <c r="A124" s="3"/>
      <c r="B124" s="3"/>
      <c r="C124" s="3">
        <f t="shared" si="12"/>
        <v>-1169000</v>
      </c>
      <c r="D124" s="7"/>
      <c r="E124" s="8"/>
      <c r="F124" s="7"/>
    </row>
    <row r="125" spans="1:6" ht="15.6" x14ac:dyDescent="0.3">
      <c r="A125" s="3"/>
      <c r="B125" s="3"/>
      <c r="C125" s="3">
        <f t="shared" si="12"/>
        <v>-1169000</v>
      </c>
      <c r="D125" s="7"/>
      <c r="E125" s="8"/>
      <c r="F125" s="7"/>
    </row>
    <row r="126" spans="1:6" ht="15.6" x14ac:dyDescent="0.3">
      <c r="A126" s="3"/>
      <c r="B126" s="3"/>
      <c r="C126" s="3">
        <f t="shared" si="12"/>
        <v>-1169000</v>
      </c>
      <c r="D126" s="7"/>
      <c r="E126" s="8"/>
      <c r="F126" s="7"/>
    </row>
    <row r="127" spans="1:6" ht="15.6" x14ac:dyDescent="0.3">
      <c r="A127" s="3"/>
      <c r="B127" s="3"/>
      <c r="C127" s="3">
        <f t="shared" si="12"/>
        <v>-1169000</v>
      </c>
      <c r="D127" s="7"/>
      <c r="E127" s="8"/>
      <c r="F127" s="7"/>
    </row>
    <row r="128" spans="1:6" ht="15.6" x14ac:dyDescent="0.3">
      <c r="A128" s="3"/>
      <c r="B128" s="3"/>
      <c r="C128" s="3">
        <f t="shared" si="12"/>
        <v>-1169000</v>
      </c>
      <c r="D128" s="7"/>
      <c r="E128" s="8"/>
      <c r="F128" s="7"/>
    </row>
    <row r="129" spans="1:6" ht="15.6" x14ac:dyDescent="0.3">
      <c r="A129" s="3"/>
      <c r="B129" s="3"/>
      <c r="C129" s="3">
        <f t="shared" si="12"/>
        <v>-1169000</v>
      </c>
      <c r="D129" s="7"/>
      <c r="E129" s="8"/>
      <c r="F129" s="7"/>
    </row>
    <row r="130" spans="1:6" ht="15.6" x14ac:dyDescent="0.3">
      <c r="A130" s="3"/>
      <c r="B130" s="3"/>
      <c r="C130" s="3">
        <f t="shared" si="12"/>
        <v>-1169000</v>
      </c>
      <c r="D130" s="7"/>
      <c r="E130" s="8"/>
      <c r="F130" s="7"/>
    </row>
    <row r="131" spans="1:6" ht="15.6" x14ac:dyDescent="0.3">
      <c r="A131" s="3"/>
      <c r="B131" s="3"/>
      <c r="C131" s="3">
        <f t="shared" si="12"/>
        <v>-1169000</v>
      </c>
      <c r="D131" s="7"/>
      <c r="E131" s="8"/>
      <c r="F131" s="7"/>
    </row>
    <row r="132" spans="1:6" ht="15.6" x14ac:dyDescent="0.3">
      <c r="A132" s="3"/>
      <c r="B132" s="3"/>
      <c r="C132" s="3">
        <f t="shared" si="12"/>
        <v>-1169000</v>
      </c>
      <c r="D132" s="7"/>
      <c r="E132" s="8"/>
      <c r="F132" s="7"/>
    </row>
    <row r="133" spans="1:6" ht="15.6" x14ac:dyDescent="0.3">
      <c r="A133" s="3"/>
      <c r="B133" s="3"/>
      <c r="C133" s="3">
        <f t="shared" si="12"/>
        <v>-1169000</v>
      </c>
      <c r="D133" s="7"/>
      <c r="E133" s="8"/>
      <c r="F133" s="7"/>
    </row>
    <row r="134" spans="1:6" ht="15.6" x14ac:dyDescent="0.3">
      <c r="A134" s="3"/>
      <c r="B134" s="3"/>
      <c r="C134" s="3">
        <f t="shared" si="12"/>
        <v>-1169000</v>
      </c>
      <c r="D134" s="7"/>
      <c r="E134" s="8"/>
      <c r="F134" s="7"/>
    </row>
    <row r="135" spans="1:6" ht="15.6" x14ac:dyDescent="0.3">
      <c r="A135" s="3"/>
      <c r="B135" s="3"/>
      <c r="C135" s="3">
        <f t="shared" si="12"/>
        <v>-1169000</v>
      </c>
      <c r="D135" s="7"/>
      <c r="E135" s="8"/>
      <c r="F135" s="7"/>
    </row>
    <row r="136" spans="1:6" ht="15.6" x14ac:dyDescent="0.3">
      <c r="A136" s="3"/>
      <c r="B136" s="3"/>
      <c r="C136" s="3">
        <f t="shared" si="12"/>
        <v>-1169000</v>
      </c>
      <c r="D136" s="7"/>
      <c r="E136" s="8"/>
      <c r="F136" s="7"/>
    </row>
    <row r="137" spans="1:6" ht="15.6" x14ac:dyDescent="0.3">
      <c r="A137" s="3"/>
      <c r="B137" s="3"/>
      <c r="C137" s="3">
        <f t="shared" si="12"/>
        <v>-1169000</v>
      </c>
      <c r="D137" s="7"/>
      <c r="E137" s="8"/>
      <c r="F137" s="7"/>
    </row>
    <row r="138" spans="1:6" ht="15.6" x14ac:dyDescent="0.3">
      <c r="A138" s="3"/>
      <c r="B138" s="3"/>
      <c r="C138" s="3">
        <f t="shared" si="12"/>
        <v>-1169000</v>
      </c>
      <c r="D138" s="7"/>
      <c r="E138" s="8"/>
      <c r="F138" s="7"/>
    </row>
    <row r="139" spans="1:6" ht="15.6" x14ac:dyDescent="0.3">
      <c r="A139" s="3"/>
      <c r="B139" s="3"/>
      <c r="C139" s="3">
        <f t="shared" si="12"/>
        <v>-1169000</v>
      </c>
      <c r="D139" s="7"/>
      <c r="E139" s="8"/>
      <c r="F139" s="7"/>
    </row>
    <row r="140" spans="1:6" ht="15.6" x14ac:dyDescent="0.3">
      <c r="A140" s="3"/>
      <c r="B140" s="3"/>
      <c r="C140" s="3">
        <f t="shared" si="12"/>
        <v>-1169000</v>
      </c>
      <c r="D140" s="7"/>
      <c r="E140" s="8"/>
      <c r="F140" s="7"/>
    </row>
    <row r="141" spans="1:6" ht="15.6" x14ac:dyDescent="0.3">
      <c r="A141" s="3"/>
      <c r="B141" s="3"/>
      <c r="C141" s="3">
        <f t="shared" ref="C141:C148" si="15">IF(A141&gt;0,C140+A141-B141,C140-B141)</f>
        <v>-1169000</v>
      </c>
      <c r="D141" s="7"/>
      <c r="E141" s="8"/>
      <c r="F141" s="7"/>
    </row>
    <row r="142" spans="1:6" ht="15.6" x14ac:dyDescent="0.3">
      <c r="A142" s="3"/>
      <c r="B142" s="3"/>
      <c r="C142" s="3">
        <f t="shared" si="15"/>
        <v>-1169000</v>
      </c>
      <c r="D142" s="7"/>
      <c r="E142" s="8"/>
      <c r="F142" s="7"/>
    </row>
    <row r="143" spans="1:6" ht="15.6" x14ac:dyDescent="0.3">
      <c r="A143" s="3"/>
      <c r="B143" s="3"/>
      <c r="C143" s="3">
        <f t="shared" si="15"/>
        <v>-1169000</v>
      </c>
      <c r="D143" s="7"/>
      <c r="E143" s="8"/>
      <c r="F143" s="7"/>
    </row>
    <row r="144" spans="1:6" ht="15.6" x14ac:dyDescent="0.3">
      <c r="A144" s="3"/>
      <c r="B144" s="3"/>
      <c r="C144" s="3">
        <f t="shared" si="15"/>
        <v>-1169000</v>
      </c>
      <c r="D144" s="7"/>
      <c r="E144" s="8"/>
      <c r="F144" s="7"/>
    </row>
    <row r="145" spans="1:6" ht="15.6" x14ac:dyDescent="0.3">
      <c r="A145" s="3"/>
      <c r="B145" s="3"/>
      <c r="C145" s="3">
        <f t="shared" si="15"/>
        <v>-1169000</v>
      </c>
      <c r="D145" s="7"/>
      <c r="E145" s="8"/>
      <c r="F145" s="7"/>
    </row>
    <row r="146" spans="1:6" ht="15.6" x14ac:dyDescent="0.3">
      <c r="A146" s="3"/>
      <c r="B146" s="3"/>
      <c r="C146" s="3">
        <f t="shared" si="15"/>
        <v>-1169000</v>
      </c>
      <c r="D146" s="7"/>
      <c r="E146" s="8"/>
      <c r="F146" s="7"/>
    </row>
    <row r="147" spans="1:6" ht="15.6" x14ac:dyDescent="0.3">
      <c r="A147" s="3"/>
      <c r="B147" s="3"/>
      <c r="C147" s="3">
        <f t="shared" si="15"/>
        <v>-1169000</v>
      </c>
      <c r="D147" s="7"/>
      <c r="E147" s="8"/>
      <c r="F147" s="7"/>
    </row>
    <row r="148" spans="1:6" ht="15.6" x14ac:dyDescent="0.3">
      <c r="A148" s="3"/>
      <c r="B148" s="3"/>
      <c r="C148" s="3">
        <f t="shared" si="15"/>
        <v>-1169000</v>
      </c>
      <c r="D148" s="7"/>
      <c r="E148" s="8"/>
      <c r="F148" s="7"/>
    </row>
    <row r="149" spans="1:6" ht="15.6" x14ac:dyDescent="0.3">
      <c r="A149" s="7"/>
      <c r="B149" s="7"/>
      <c r="C149" s="7"/>
      <c r="D149" s="7"/>
      <c r="E149" s="8"/>
      <c r="F149" s="7"/>
    </row>
    <row r="150" spans="1:6" ht="15.6" x14ac:dyDescent="0.3">
      <c r="A150" s="7"/>
      <c r="B150" s="7"/>
      <c r="C150" s="7"/>
      <c r="D150" s="7"/>
      <c r="E150" s="8"/>
      <c r="F150" s="7"/>
    </row>
    <row r="151" spans="1:6" ht="15.6" x14ac:dyDescent="0.3">
      <c r="A151" s="7"/>
      <c r="B151" s="7"/>
      <c r="C151" s="7">
        <f>IF(A151&gt;0,C148+A151-B151,C148-B151)</f>
        <v>-1169000</v>
      </c>
      <c r="D151" s="7"/>
      <c r="E151" s="8"/>
      <c r="F151" s="7"/>
    </row>
  </sheetData>
  <mergeCells count="13">
    <mergeCell ref="H6:I6"/>
    <mergeCell ref="J6:N6"/>
    <mergeCell ref="O6:P6"/>
    <mergeCell ref="H25:I25"/>
    <mergeCell ref="J25:N25"/>
    <mergeCell ref="O25:P25"/>
    <mergeCell ref="I82:J82"/>
    <mergeCell ref="K82:O82"/>
    <mergeCell ref="P82:Q82"/>
    <mergeCell ref="F12:F19"/>
    <mergeCell ref="H43:I43"/>
    <mergeCell ref="J43:N43"/>
    <mergeCell ref="O43:P43"/>
  </mergeCells>
  <pageMargins left="0.7" right="0.7" top="0.75" bottom="0.75" header="0.3" footer="0.3"/>
  <pageSetup orientation="portrait" r:id="rId1"/>
  <ignoredErrors>
    <ignoredError sqref="P58:P6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1F98-C0BE-4B53-83FB-0E3C8508054D}">
  <dimension ref="A1:Q151"/>
  <sheetViews>
    <sheetView rightToLeft="1" workbookViewId="0">
      <selection activeCell="A9" sqref="A9"/>
    </sheetView>
  </sheetViews>
  <sheetFormatPr defaultColWidth="9" defaultRowHeight="14.4" x14ac:dyDescent="0.3"/>
  <cols>
    <col min="1" max="1" width="17.44140625" bestFit="1" customWidth="1"/>
    <col min="2" max="2" width="11.6640625" customWidth="1"/>
    <col min="3" max="3" width="12.88671875" style="252" bestFit="1" customWidth="1"/>
    <col min="4" max="4" width="37.44140625" bestFit="1" customWidth="1"/>
    <col min="5" max="5" width="20.44140625" bestFit="1" customWidth="1"/>
    <col min="8" max="8" width="6.44140625" customWidth="1"/>
    <col min="9" max="9" width="11.88671875" bestFit="1" customWidth="1"/>
    <col min="10" max="10" width="38.109375" bestFit="1" customWidth="1"/>
    <col min="11" max="11" width="25.109375" customWidth="1"/>
    <col min="12" max="12" width="38.109375" bestFit="1" customWidth="1"/>
    <col min="13" max="13" width="18.109375" customWidth="1"/>
    <col min="14" max="14" width="19" customWidth="1"/>
    <col min="15" max="15" width="16.21875" bestFit="1" customWidth="1"/>
    <col min="16" max="16" width="16.6640625" style="252" bestFit="1" customWidth="1"/>
    <col min="17" max="17" width="12.5546875" bestFit="1" customWidth="1"/>
  </cols>
  <sheetData>
    <row r="1" spans="1:17" ht="15.6" x14ac:dyDescent="0.3">
      <c r="A1" s="1"/>
      <c r="B1" s="1"/>
      <c r="C1" s="266"/>
      <c r="D1" s="1"/>
      <c r="E1" s="2"/>
      <c r="F1" s="1"/>
    </row>
    <row r="2" spans="1:17" ht="21.75" customHeight="1" x14ac:dyDescent="0.3">
      <c r="A2" s="253">
        <f>SUBTOTAL(9,A5:A151)</f>
        <v>225000</v>
      </c>
      <c r="B2" s="253">
        <f>SUBTOTAL(9,B5:B151)</f>
        <v>1220000</v>
      </c>
      <c r="C2" s="253">
        <f>A2-B2</f>
        <v>-995000</v>
      </c>
      <c r="D2" s="1"/>
      <c r="E2" s="2"/>
      <c r="F2" s="1"/>
    </row>
    <row r="3" spans="1:17" ht="29.25" customHeight="1" x14ac:dyDescent="0.3">
      <c r="A3" s="6" t="s">
        <v>581</v>
      </c>
      <c r="B3" s="6"/>
      <c r="C3" s="267"/>
      <c r="D3" s="5" t="s">
        <v>582</v>
      </c>
      <c r="E3" s="6"/>
      <c r="F3" s="6"/>
    </row>
    <row r="4" spans="1:17" ht="15.6" x14ac:dyDescent="0.3">
      <c r="A4" s="7" t="s">
        <v>2</v>
      </c>
      <c r="B4" s="7" t="s">
        <v>3</v>
      </c>
      <c r="C4" s="253" t="s">
        <v>4</v>
      </c>
      <c r="D4" s="7" t="s">
        <v>5</v>
      </c>
      <c r="E4" s="8" t="s">
        <v>6</v>
      </c>
      <c r="F4" s="7" t="s">
        <v>7</v>
      </c>
    </row>
    <row r="5" spans="1:17" ht="0.75" customHeight="1" x14ac:dyDescent="0.3">
      <c r="A5" s="7"/>
      <c r="B5" s="7"/>
      <c r="C5" s="253">
        <v>0</v>
      </c>
      <c r="D5" s="7"/>
      <c r="E5" s="8"/>
      <c r="F5" s="7"/>
    </row>
    <row r="6" spans="1:17" ht="15.6" x14ac:dyDescent="0.3">
      <c r="A6" s="3"/>
      <c r="B6" s="3">
        <v>900000</v>
      </c>
      <c r="C6" s="209">
        <f>IF(A6&gt;0,C5+A6-B6,C5-B6)</f>
        <v>-900000</v>
      </c>
      <c r="D6" s="57" t="s">
        <v>586</v>
      </c>
      <c r="E6" s="8">
        <v>46288</v>
      </c>
      <c r="F6" s="58"/>
      <c r="H6" s="268" t="s">
        <v>501</v>
      </c>
      <c r="I6" s="268"/>
      <c r="J6" s="268" t="s">
        <v>584</v>
      </c>
      <c r="K6" s="268"/>
      <c r="L6" s="268"/>
      <c r="M6" s="268"/>
      <c r="N6" s="268"/>
      <c r="O6" s="268" t="s">
        <v>585</v>
      </c>
      <c r="P6" s="268"/>
      <c r="Q6" s="15"/>
    </row>
    <row r="7" spans="1:17" ht="15.6" x14ac:dyDescent="0.3">
      <c r="A7" s="265">
        <v>225000</v>
      </c>
      <c r="B7" s="3"/>
      <c r="C7" s="209">
        <f t="shared" ref="C7:C70" si="0">IF(A7&gt;0,C6+A7-B7,C6-B7)</f>
        <v>-675000</v>
      </c>
      <c r="D7" s="57" t="s">
        <v>587</v>
      </c>
      <c r="E7" s="8">
        <v>46288</v>
      </c>
      <c r="F7" s="58"/>
      <c r="H7" s="7" t="s">
        <v>40</v>
      </c>
      <c r="I7" s="7" t="s">
        <v>6</v>
      </c>
      <c r="J7" s="7" t="s">
        <v>5</v>
      </c>
      <c r="K7" s="41" t="s">
        <v>383</v>
      </c>
      <c r="L7" s="41" t="s">
        <v>384</v>
      </c>
      <c r="M7" s="41" t="s">
        <v>385</v>
      </c>
      <c r="N7" s="41" t="s">
        <v>42</v>
      </c>
      <c r="O7" s="7" t="s">
        <v>43</v>
      </c>
      <c r="P7" s="253" t="s">
        <v>386</v>
      </c>
      <c r="Q7" s="15"/>
    </row>
    <row r="8" spans="1:17" ht="15.6" x14ac:dyDescent="0.3">
      <c r="A8" s="177"/>
      <c r="B8" s="3">
        <v>320000</v>
      </c>
      <c r="C8" s="209">
        <f t="shared" si="0"/>
        <v>-995000</v>
      </c>
      <c r="D8" s="75" t="s">
        <v>588</v>
      </c>
      <c r="E8" s="8">
        <v>46288</v>
      </c>
      <c r="F8" s="58"/>
      <c r="H8" s="7">
        <v>1</v>
      </c>
      <c r="I8" s="8"/>
      <c r="J8" s="8" t="s">
        <v>583</v>
      </c>
      <c r="K8" s="179">
        <v>4</v>
      </c>
      <c r="L8" s="41">
        <v>225000</v>
      </c>
      <c r="M8" s="41">
        <f>K8*L8</f>
        <v>900000</v>
      </c>
      <c r="N8" s="41"/>
      <c r="O8" s="7">
        <f>M8</f>
        <v>900000</v>
      </c>
      <c r="P8" s="253"/>
      <c r="Q8" s="15"/>
    </row>
    <row r="9" spans="1:17" ht="15.6" x14ac:dyDescent="0.3">
      <c r="A9" s="177"/>
      <c r="B9" s="3"/>
      <c r="C9" s="253">
        <f t="shared" si="0"/>
        <v>-995000</v>
      </c>
      <c r="D9" s="75"/>
      <c r="E9" s="121"/>
      <c r="F9" s="58"/>
      <c r="H9" s="7">
        <v>2</v>
      </c>
      <c r="I9" s="8"/>
      <c r="J9" s="8"/>
      <c r="K9" s="179"/>
      <c r="L9" s="41"/>
      <c r="M9" s="41">
        <f t="shared" ref="M9:M18" si="1">K9*L9</f>
        <v>0</v>
      </c>
      <c r="N9" s="41"/>
      <c r="O9" s="7">
        <f t="shared" ref="O9:O11" si="2">M9</f>
        <v>0</v>
      </c>
      <c r="P9" s="253"/>
      <c r="Q9" s="15"/>
    </row>
    <row r="10" spans="1:17" ht="15.6" x14ac:dyDescent="0.3">
      <c r="A10" s="74"/>
      <c r="B10" s="3"/>
      <c r="C10" s="253">
        <f t="shared" si="0"/>
        <v>-995000</v>
      </c>
      <c r="D10" s="75"/>
      <c r="E10" s="52"/>
      <c r="F10" s="58"/>
      <c r="H10" s="7">
        <v>3</v>
      </c>
      <c r="I10" s="8"/>
      <c r="J10" s="8"/>
      <c r="K10" s="179"/>
      <c r="L10" s="41"/>
      <c r="M10" s="41">
        <f t="shared" si="1"/>
        <v>0</v>
      </c>
      <c r="N10" s="41"/>
      <c r="O10" s="7">
        <f t="shared" si="2"/>
        <v>0</v>
      </c>
      <c r="P10" s="253"/>
      <c r="Q10" s="15"/>
    </row>
    <row r="11" spans="1:17" ht="15.6" x14ac:dyDescent="0.3">
      <c r="A11" s="74"/>
      <c r="B11" s="3"/>
      <c r="C11" s="253">
        <f t="shared" si="0"/>
        <v>-995000</v>
      </c>
      <c r="D11" s="75"/>
      <c r="E11" s="52"/>
      <c r="F11" s="58"/>
      <c r="H11" s="7"/>
      <c r="I11" s="8"/>
      <c r="J11" s="8"/>
      <c r="K11" s="179"/>
      <c r="L11" s="41"/>
      <c r="M11" s="41">
        <f t="shared" si="1"/>
        <v>0</v>
      </c>
      <c r="N11" s="41"/>
      <c r="O11" s="7">
        <f t="shared" si="2"/>
        <v>0</v>
      </c>
      <c r="P11" s="253"/>
      <c r="Q11" s="15"/>
    </row>
    <row r="12" spans="1:17" ht="15.6" x14ac:dyDescent="0.3">
      <c r="A12" s="178"/>
      <c r="B12" s="3"/>
      <c r="C12" s="253">
        <f t="shared" si="0"/>
        <v>-995000</v>
      </c>
      <c r="D12" s="57"/>
      <c r="E12" s="8"/>
      <c r="F12" s="269"/>
      <c r="H12" s="51"/>
      <c r="I12" s="180"/>
      <c r="J12" s="180" t="s">
        <v>394</v>
      </c>
      <c r="K12" s="181"/>
      <c r="L12" s="49"/>
      <c r="M12" s="49">
        <f t="shared" si="1"/>
        <v>0</v>
      </c>
      <c r="N12" s="105"/>
      <c r="O12" s="182">
        <f>SUM(O8:O11)-N12</f>
        <v>900000</v>
      </c>
      <c r="P12" s="258"/>
      <c r="Q12" s="15"/>
    </row>
    <row r="13" spans="1:17" ht="15.6" x14ac:dyDescent="0.3">
      <c r="A13" s="33"/>
      <c r="B13" s="3"/>
      <c r="C13" s="253">
        <f t="shared" si="0"/>
        <v>-995000</v>
      </c>
      <c r="D13" s="57"/>
      <c r="E13" s="8"/>
      <c r="F13" s="270"/>
      <c r="H13" s="7"/>
      <c r="I13" s="8">
        <v>46288</v>
      </c>
      <c r="J13" s="103" t="s">
        <v>55</v>
      </c>
      <c r="K13" s="179"/>
      <c r="L13" s="41"/>
      <c r="M13" s="41">
        <f t="shared" si="1"/>
        <v>0</v>
      </c>
      <c r="N13" s="104">
        <v>225000</v>
      </c>
      <c r="O13" s="7">
        <f>O12-N13</f>
        <v>675000</v>
      </c>
      <c r="P13" s="260"/>
      <c r="Q13" s="15"/>
    </row>
    <row r="14" spans="1:17" ht="15.6" x14ac:dyDescent="0.3">
      <c r="A14" s="33"/>
      <c r="B14" s="3"/>
      <c r="C14" s="253">
        <f t="shared" si="0"/>
        <v>-995000</v>
      </c>
      <c r="D14" s="78"/>
      <c r="E14" s="8"/>
      <c r="F14" s="270"/>
      <c r="H14" s="7">
        <v>1</v>
      </c>
      <c r="I14" s="8">
        <v>46325</v>
      </c>
      <c r="J14" s="8" t="s">
        <v>395</v>
      </c>
      <c r="K14" s="179"/>
      <c r="L14" s="41"/>
      <c r="M14" s="41">
        <f t="shared" si="1"/>
        <v>0</v>
      </c>
      <c r="N14" s="104">
        <v>225000</v>
      </c>
      <c r="O14" s="7">
        <f t="shared" ref="O14:O18" si="3">O13-N14</f>
        <v>450000</v>
      </c>
      <c r="P14" s="260"/>
      <c r="Q14" s="15"/>
    </row>
    <row r="15" spans="1:17" ht="15.6" x14ac:dyDescent="0.3">
      <c r="A15" s="33"/>
      <c r="B15" s="3"/>
      <c r="C15" s="253">
        <f t="shared" si="0"/>
        <v>-995000</v>
      </c>
      <c r="D15" s="78"/>
      <c r="E15" s="8"/>
      <c r="F15" s="270"/>
      <c r="H15" s="7">
        <v>2</v>
      </c>
      <c r="I15" s="8">
        <v>46356</v>
      </c>
      <c r="J15" s="8" t="s">
        <v>396</v>
      </c>
      <c r="K15" s="179"/>
      <c r="L15" s="41"/>
      <c r="M15" s="41">
        <f t="shared" si="1"/>
        <v>0</v>
      </c>
      <c r="N15" s="104">
        <v>225000</v>
      </c>
      <c r="O15" s="7">
        <f t="shared" si="3"/>
        <v>225000</v>
      </c>
      <c r="P15" s="260"/>
      <c r="Q15" s="15"/>
    </row>
    <row r="16" spans="1:17" ht="15.6" x14ac:dyDescent="0.3">
      <c r="A16" s="33"/>
      <c r="B16" s="3"/>
      <c r="C16" s="253">
        <f t="shared" si="0"/>
        <v>-995000</v>
      </c>
      <c r="D16" s="78"/>
      <c r="E16" s="8"/>
      <c r="F16" s="270"/>
      <c r="H16" s="7">
        <v>3</v>
      </c>
      <c r="I16" s="8">
        <v>46386</v>
      </c>
      <c r="J16" s="8" t="s">
        <v>397</v>
      </c>
      <c r="K16" s="179"/>
      <c r="L16" s="41"/>
      <c r="M16" s="41">
        <f t="shared" si="1"/>
        <v>0</v>
      </c>
      <c r="N16" s="104">
        <v>225000</v>
      </c>
      <c r="O16" s="7">
        <f t="shared" si="3"/>
        <v>0</v>
      </c>
      <c r="P16" s="209"/>
      <c r="Q16" s="15"/>
    </row>
    <row r="17" spans="1:17" ht="15.6" x14ac:dyDescent="0.3">
      <c r="A17" s="3"/>
      <c r="B17" s="3"/>
      <c r="C17" s="253">
        <f t="shared" si="0"/>
        <v>-995000</v>
      </c>
      <c r="D17" s="78"/>
      <c r="E17" s="8"/>
      <c r="F17" s="270"/>
      <c r="H17" s="7"/>
      <c r="I17" s="8"/>
      <c r="J17" s="8"/>
      <c r="K17" s="179"/>
      <c r="L17" s="41"/>
      <c r="M17" s="41">
        <f t="shared" si="1"/>
        <v>0</v>
      </c>
      <c r="N17" s="41"/>
      <c r="O17" s="7">
        <f t="shared" si="3"/>
        <v>0</v>
      </c>
      <c r="P17" s="253"/>
      <c r="Q17" s="15"/>
    </row>
    <row r="18" spans="1:17" ht="15.6" x14ac:dyDescent="0.3">
      <c r="A18" s="3"/>
      <c r="B18" s="3"/>
      <c r="C18" s="253">
        <f t="shared" si="0"/>
        <v>-995000</v>
      </c>
      <c r="D18" s="57"/>
      <c r="E18" s="8"/>
      <c r="F18" s="270"/>
      <c r="H18" s="7"/>
      <c r="I18" s="8"/>
      <c r="J18" s="8"/>
      <c r="K18" s="179"/>
      <c r="L18" s="41"/>
      <c r="M18" s="41">
        <f t="shared" si="1"/>
        <v>0</v>
      </c>
      <c r="N18" s="41"/>
      <c r="O18" s="7">
        <f t="shared" si="3"/>
        <v>0</v>
      </c>
      <c r="P18" s="253"/>
      <c r="Q18" s="15"/>
    </row>
    <row r="19" spans="1:17" ht="15.6" x14ac:dyDescent="0.3">
      <c r="A19" s="3"/>
      <c r="B19" s="3"/>
      <c r="C19" s="253">
        <f t="shared" si="0"/>
        <v>-995000</v>
      </c>
      <c r="D19" s="57"/>
      <c r="E19" s="8"/>
      <c r="F19" s="271"/>
      <c r="H19" s="15"/>
      <c r="I19" s="15"/>
      <c r="J19" s="15"/>
      <c r="K19" s="15"/>
      <c r="L19" s="15"/>
      <c r="M19" s="15"/>
      <c r="N19" s="15"/>
      <c r="O19" s="15"/>
      <c r="P19" s="261"/>
      <c r="Q19" s="15"/>
    </row>
    <row r="20" spans="1:17" ht="15.6" x14ac:dyDescent="0.3">
      <c r="A20" s="3"/>
      <c r="B20" s="3"/>
      <c r="C20" s="253">
        <f t="shared" si="0"/>
        <v>-995000</v>
      </c>
      <c r="D20" s="7"/>
      <c r="E20" s="8"/>
      <c r="F20" s="58"/>
      <c r="H20" s="15"/>
      <c r="I20" s="15"/>
      <c r="J20" s="15"/>
      <c r="K20" s="15"/>
      <c r="L20" s="15"/>
      <c r="M20" s="15"/>
      <c r="N20" s="15"/>
      <c r="O20" s="15"/>
      <c r="P20" s="261"/>
      <c r="Q20" s="15"/>
    </row>
    <row r="21" spans="1:17" ht="15.6" x14ac:dyDescent="0.3">
      <c r="A21" s="3"/>
      <c r="B21" s="3"/>
      <c r="C21" s="253">
        <f t="shared" si="0"/>
        <v>-995000</v>
      </c>
      <c r="D21" s="7"/>
      <c r="E21" s="8"/>
      <c r="F21" s="58"/>
      <c r="H21" s="15"/>
      <c r="I21" s="15"/>
      <c r="J21" s="15"/>
      <c r="K21" s="15"/>
      <c r="L21" s="15"/>
      <c r="M21" s="15"/>
      <c r="N21" s="15"/>
      <c r="O21" s="15"/>
      <c r="P21" s="261"/>
      <c r="Q21" s="15"/>
    </row>
    <row r="22" spans="1:17" ht="15.6" x14ac:dyDescent="0.3">
      <c r="A22" s="3"/>
      <c r="B22" s="3"/>
      <c r="C22" s="253">
        <f t="shared" si="0"/>
        <v>-995000</v>
      </c>
      <c r="D22" s="7"/>
      <c r="E22" s="8"/>
      <c r="F22" s="58"/>
      <c r="H22" s="268" t="s">
        <v>501</v>
      </c>
      <c r="I22" s="268"/>
      <c r="J22" s="268" t="s">
        <v>584</v>
      </c>
      <c r="K22" s="268"/>
      <c r="L22" s="268"/>
      <c r="M22" s="268"/>
      <c r="N22" s="268"/>
      <c r="O22" s="268" t="s">
        <v>585</v>
      </c>
      <c r="P22" s="268"/>
      <c r="Q22" s="15"/>
    </row>
    <row r="23" spans="1:17" ht="15.6" x14ac:dyDescent="0.3">
      <c r="A23" s="3"/>
      <c r="B23" s="3"/>
      <c r="C23" s="253">
        <f t="shared" si="0"/>
        <v>-995000</v>
      </c>
      <c r="D23" s="7"/>
      <c r="E23" s="8"/>
      <c r="F23" s="58"/>
      <c r="H23" s="7" t="s">
        <v>40</v>
      </c>
      <c r="I23" s="7" t="s">
        <v>6</v>
      </c>
      <c r="J23" s="7" t="s">
        <v>5</v>
      </c>
      <c r="K23" s="41" t="s">
        <v>383</v>
      </c>
      <c r="L23" s="41" t="s">
        <v>384</v>
      </c>
      <c r="M23" s="41" t="s">
        <v>385</v>
      </c>
      <c r="N23" s="41" t="s">
        <v>42</v>
      </c>
      <c r="O23" s="7" t="s">
        <v>43</v>
      </c>
      <c r="P23" s="253" t="s">
        <v>386</v>
      </c>
      <c r="Q23" s="15"/>
    </row>
    <row r="24" spans="1:17" ht="15.6" x14ac:dyDescent="0.3">
      <c r="A24" s="3"/>
      <c r="B24" s="3"/>
      <c r="C24" s="253">
        <f t="shared" si="0"/>
        <v>-995000</v>
      </c>
      <c r="D24" s="7"/>
      <c r="E24" s="8"/>
      <c r="F24" s="58"/>
      <c r="H24" s="7">
        <v>1</v>
      </c>
      <c r="I24" s="8"/>
      <c r="J24" s="8" t="s">
        <v>583</v>
      </c>
      <c r="K24" s="179">
        <v>2</v>
      </c>
      <c r="L24" s="41">
        <v>160000</v>
      </c>
      <c r="M24" s="41">
        <f>K24*L24</f>
        <v>320000</v>
      </c>
      <c r="N24" s="41"/>
      <c r="O24" s="7">
        <f>M24</f>
        <v>320000</v>
      </c>
      <c r="P24" s="253"/>
      <c r="Q24" s="15"/>
    </row>
    <row r="25" spans="1:17" ht="15.6" x14ac:dyDescent="0.3">
      <c r="A25" s="3"/>
      <c r="B25" s="3"/>
      <c r="C25" s="253">
        <f t="shared" si="0"/>
        <v>-995000</v>
      </c>
      <c r="D25" s="7"/>
      <c r="E25" s="8"/>
      <c r="F25" s="58"/>
      <c r="H25" s="7">
        <v>2</v>
      </c>
      <c r="I25" s="8"/>
      <c r="J25" s="8"/>
      <c r="K25" s="179"/>
      <c r="L25" s="41"/>
      <c r="M25" s="41">
        <f t="shared" ref="M25:M34" si="4">K25*L25</f>
        <v>0</v>
      </c>
      <c r="N25" s="41"/>
      <c r="O25" s="7">
        <f t="shared" ref="O25:O27" si="5">M25</f>
        <v>0</v>
      </c>
      <c r="P25" s="253"/>
    </row>
    <row r="26" spans="1:17" ht="15.6" x14ac:dyDescent="0.3">
      <c r="A26" s="3"/>
      <c r="B26" s="3"/>
      <c r="C26" s="253">
        <f t="shared" si="0"/>
        <v>-995000</v>
      </c>
      <c r="D26" s="7"/>
      <c r="E26" s="8"/>
      <c r="F26" s="58"/>
      <c r="H26" s="7">
        <v>3</v>
      </c>
      <c r="I26" s="8"/>
      <c r="J26" s="8"/>
      <c r="K26" s="179"/>
      <c r="L26" s="41"/>
      <c r="M26" s="41">
        <f t="shared" si="4"/>
        <v>0</v>
      </c>
      <c r="N26" s="41"/>
      <c r="O26" s="7">
        <f t="shared" si="5"/>
        <v>0</v>
      </c>
      <c r="P26" s="253"/>
    </row>
    <row r="27" spans="1:17" ht="15.6" x14ac:dyDescent="0.3">
      <c r="A27" s="3"/>
      <c r="B27" s="3"/>
      <c r="C27" s="253">
        <f t="shared" si="0"/>
        <v>-995000</v>
      </c>
      <c r="D27" s="7"/>
      <c r="E27" s="8"/>
      <c r="F27" s="58"/>
      <c r="H27" s="7"/>
      <c r="I27" s="8"/>
      <c r="J27" s="8"/>
      <c r="K27" s="179"/>
      <c r="L27" s="41"/>
      <c r="M27" s="41">
        <f t="shared" si="4"/>
        <v>0</v>
      </c>
      <c r="N27" s="41"/>
      <c r="O27" s="7">
        <f t="shared" si="5"/>
        <v>0</v>
      </c>
      <c r="P27" s="253"/>
    </row>
    <row r="28" spans="1:17" ht="15.6" x14ac:dyDescent="0.3">
      <c r="A28" s="3"/>
      <c r="B28" s="3"/>
      <c r="C28" s="253">
        <f t="shared" si="0"/>
        <v>-995000</v>
      </c>
      <c r="D28" s="7"/>
      <c r="E28" s="8"/>
      <c r="F28" s="58"/>
      <c r="H28" s="51"/>
      <c r="I28" s="180"/>
      <c r="J28" s="180" t="s">
        <v>394</v>
      </c>
      <c r="K28" s="181"/>
      <c r="L28" s="49"/>
      <c r="M28" s="49">
        <f t="shared" si="4"/>
        <v>0</v>
      </c>
      <c r="N28" s="105"/>
      <c r="O28" s="182">
        <f>SUM(O24:O27)-N28</f>
        <v>320000</v>
      </c>
      <c r="P28" s="258"/>
    </row>
    <row r="29" spans="1:17" ht="15.6" x14ac:dyDescent="0.3">
      <c r="A29" s="3"/>
      <c r="B29" s="3"/>
      <c r="C29" s="253">
        <f t="shared" si="0"/>
        <v>-995000</v>
      </c>
      <c r="D29" s="7"/>
      <c r="E29" s="8"/>
      <c r="F29" s="58"/>
      <c r="H29" s="7"/>
      <c r="I29" s="8">
        <v>46336</v>
      </c>
      <c r="J29" s="103" t="s">
        <v>55</v>
      </c>
      <c r="K29" s="179"/>
      <c r="L29" s="41"/>
      <c r="M29" s="41">
        <f t="shared" si="4"/>
        <v>0</v>
      </c>
      <c r="N29" s="104">
        <v>80000</v>
      </c>
      <c r="O29" s="7">
        <f>O28-N29</f>
        <v>240000</v>
      </c>
      <c r="P29" s="260"/>
    </row>
    <row r="30" spans="1:17" ht="15.6" x14ac:dyDescent="0.3">
      <c r="A30" s="3"/>
      <c r="B30" s="3"/>
      <c r="C30" s="253">
        <f t="shared" si="0"/>
        <v>-995000</v>
      </c>
      <c r="D30" s="7"/>
      <c r="E30" s="8"/>
      <c r="F30" s="58"/>
      <c r="H30" s="7">
        <v>1</v>
      </c>
      <c r="I30" s="8">
        <v>46331</v>
      </c>
      <c r="J30" s="8" t="s">
        <v>395</v>
      </c>
      <c r="K30" s="179"/>
      <c r="L30" s="41"/>
      <c r="M30" s="41">
        <f t="shared" si="4"/>
        <v>0</v>
      </c>
      <c r="N30" s="104">
        <v>80000</v>
      </c>
      <c r="O30" s="7">
        <f t="shared" ref="O30:O34" si="6">O29-N30</f>
        <v>160000</v>
      </c>
      <c r="P30" s="260"/>
    </row>
    <row r="31" spans="1:17" ht="15.6" x14ac:dyDescent="0.3">
      <c r="A31" s="3"/>
      <c r="B31" s="3"/>
      <c r="C31" s="253">
        <f t="shared" si="0"/>
        <v>-995000</v>
      </c>
      <c r="D31" s="7"/>
      <c r="E31" s="8"/>
      <c r="F31" s="58"/>
      <c r="H31" s="7">
        <v>2</v>
      </c>
      <c r="I31" s="8">
        <v>46361</v>
      </c>
      <c r="J31" s="8" t="s">
        <v>396</v>
      </c>
      <c r="K31" s="179"/>
      <c r="L31" s="41"/>
      <c r="M31" s="41">
        <f t="shared" si="4"/>
        <v>0</v>
      </c>
      <c r="N31" s="104">
        <v>80000</v>
      </c>
      <c r="O31" s="7">
        <f t="shared" si="6"/>
        <v>80000</v>
      </c>
      <c r="P31" s="260"/>
    </row>
    <row r="32" spans="1:17" ht="15.6" x14ac:dyDescent="0.3">
      <c r="A32" s="3"/>
      <c r="B32" s="3"/>
      <c r="C32" s="253">
        <f t="shared" si="0"/>
        <v>-995000</v>
      </c>
      <c r="D32" s="7"/>
      <c r="E32" s="8"/>
      <c r="F32" s="58"/>
      <c r="H32" s="7">
        <v>3</v>
      </c>
      <c r="I32" s="8">
        <v>46392</v>
      </c>
      <c r="J32" s="8" t="s">
        <v>397</v>
      </c>
      <c r="K32" s="179"/>
      <c r="L32" s="41"/>
      <c r="M32" s="41">
        <f t="shared" si="4"/>
        <v>0</v>
      </c>
      <c r="N32" s="104">
        <v>80000</v>
      </c>
      <c r="O32" s="7">
        <f t="shared" si="6"/>
        <v>0</v>
      </c>
      <c r="P32" s="209"/>
    </row>
    <row r="33" spans="1:16" ht="15.6" x14ac:dyDescent="0.3">
      <c r="A33" s="3"/>
      <c r="B33" s="3"/>
      <c r="C33" s="253">
        <f t="shared" si="0"/>
        <v>-995000</v>
      </c>
      <c r="D33" s="7"/>
      <c r="E33" s="8"/>
      <c r="F33" s="58"/>
      <c r="H33" s="7"/>
      <c r="I33" s="8"/>
      <c r="J33" s="8"/>
      <c r="K33" s="179"/>
      <c r="L33" s="41"/>
      <c r="M33" s="41">
        <f t="shared" si="4"/>
        <v>0</v>
      </c>
      <c r="N33" s="41"/>
      <c r="O33" s="7">
        <f t="shared" si="6"/>
        <v>0</v>
      </c>
      <c r="P33" s="253"/>
    </row>
    <row r="34" spans="1:16" ht="15.6" x14ac:dyDescent="0.3">
      <c r="A34" s="3"/>
      <c r="B34" s="3"/>
      <c r="C34" s="253">
        <f t="shared" si="0"/>
        <v>-995000</v>
      </c>
      <c r="D34" s="7"/>
      <c r="E34" s="8"/>
      <c r="F34" s="58"/>
      <c r="H34" s="7"/>
      <c r="I34" s="8"/>
      <c r="J34" s="8"/>
      <c r="K34" s="179"/>
      <c r="L34" s="41"/>
      <c r="M34" s="41">
        <f t="shared" si="4"/>
        <v>0</v>
      </c>
      <c r="N34" s="41"/>
      <c r="O34" s="7">
        <f t="shared" si="6"/>
        <v>0</v>
      </c>
      <c r="P34" s="253"/>
    </row>
    <row r="35" spans="1:16" ht="15.6" x14ac:dyDescent="0.3">
      <c r="A35" s="3"/>
      <c r="B35" s="3"/>
      <c r="C35" s="253">
        <f t="shared" si="0"/>
        <v>-995000</v>
      </c>
      <c r="D35" s="7"/>
      <c r="E35" s="8"/>
      <c r="F35" s="58"/>
    </row>
    <row r="36" spans="1:16" ht="15.6" x14ac:dyDescent="0.3">
      <c r="A36" s="3"/>
      <c r="B36" s="3"/>
      <c r="C36" s="253">
        <f t="shared" si="0"/>
        <v>-995000</v>
      </c>
      <c r="D36" s="7"/>
      <c r="E36" s="8"/>
      <c r="F36" s="58"/>
    </row>
    <row r="37" spans="1:16" ht="15.6" x14ac:dyDescent="0.3">
      <c r="A37" s="3"/>
      <c r="B37" s="3"/>
      <c r="C37" s="253">
        <f t="shared" si="0"/>
        <v>-995000</v>
      </c>
      <c r="D37" s="7"/>
      <c r="E37" s="8"/>
      <c r="F37" s="58"/>
    </row>
    <row r="38" spans="1:16" ht="15.6" x14ac:dyDescent="0.3">
      <c r="A38" s="3"/>
      <c r="B38" s="3"/>
      <c r="C38" s="253">
        <f t="shared" si="0"/>
        <v>-995000</v>
      </c>
      <c r="D38" s="7"/>
      <c r="E38" s="8"/>
      <c r="F38" s="58"/>
    </row>
    <row r="39" spans="1:16" ht="15.6" x14ac:dyDescent="0.3">
      <c r="A39" s="3"/>
      <c r="B39" s="3"/>
      <c r="C39" s="253">
        <f t="shared" si="0"/>
        <v>-995000</v>
      </c>
      <c r="D39" s="7"/>
      <c r="E39" s="8"/>
      <c r="F39" s="58"/>
    </row>
    <row r="40" spans="1:16" ht="15.6" x14ac:dyDescent="0.3">
      <c r="A40" s="3"/>
      <c r="B40" s="3"/>
      <c r="C40" s="253">
        <f t="shared" si="0"/>
        <v>-995000</v>
      </c>
      <c r="D40" s="7"/>
      <c r="E40" s="8"/>
      <c r="F40" s="58"/>
    </row>
    <row r="41" spans="1:16" ht="15.6" x14ac:dyDescent="0.3">
      <c r="A41" s="3"/>
      <c r="B41" s="3"/>
      <c r="C41" s="253">
        <f t="shared" si="0"/>
        <v>-995000</v>
      </c>
      <c r="D41" s="7"/>
      <c r="E41" s="8"/>
      <c r="F41" s="58"/>
    </row>
    <row r="42" spans="1:16" ht="15.6" x14ac:dyDescent="0.3">
      <c r="A42" s="3"/>
      <c r="B42" s="3"/>
      <c r="C42" s="253">
        <f t="shared" si="0"/>
        <v>-995000</v>
      </c>
      <c r="D42" s="7"/>
      <c r="E42" s="8"/>
      <c r="F42" s="58"/>
    </row>
    <row r="43" spans="1:16" ht="15.6" x14ac:dyDescent="0.3">
      <c r="A43" s="3"/>
      <c r="B43" s="3"/>
      <c r="C43" s="253">
        <f t="shared" si="0"/>
        <v>-995000</v>
      </c>
      <c r="D43" s="7"/>
      <c r="E43" s="8"/>
      <c r="F43" s="58"/>
    </row>
    <row r="44" spans="1:16" ht="15.6" x14ac:dyDescent="0.3">
      <c r="A44" s="3"/>
      <c r="B44" s="3"/>
      <c r="C44" s="253">
        <f t="shared" si="0"/>
        <v>-995000</v>
      </c>
      <c r="D44" s="7"/>
      <c r="E44" s="8"/>
      <c r="F44" s="58"/>
    </row>
    <row r="45" spans="1:16" ht="15.6" x14ac:dyDescent="0.3">
      <c r="A45" s="3"/>
      <c r="B45" s="3"/>
      <c r="C45" s="253">
        <f t="shared" si="0"/>
        <v>-995000</v>
      </c>
      <c r="D45" s="7"/>
      <c r="E45" s="8"/>
      <c r="F45" s="58"/>
    </row>
    <row r="46" spans="1:16" ht="15.6" x14ac:dyDescent="0.3">
      <c r="A46" s="3"/>
      <c r="B46" s="3"/>
      <c r="C46" s="253">
        <f t="shared" si="0"/>
        <v>-995000</v>
      </c>
      <c r="D46" s="7"/>
      <c r="E46" s="8"/>
      <c r="F46" s="58"/>
    </row>
    <row r="47" spans="1:16" ht="15.6" x14ac:dyDescent="0.3">
      <c r="A47" s="3"/>
      <c r="B47" s="3"/>
      <c r="C47" s="253">
        <f t="shared" si="0"/>
        <v>-995000</v>
      </c>
      <c r="D47" s="7"/>
      <c r="E47" s="8"/>
      <c r="F47" s="58"/>
    </row>
    <row r="48" spans="1:16" ht="15.6" x14ac:dyDescent="0.3">
      <c r="A48" s="3"/>
      <c r="B48" s="3"/>
      <c r="C48" s="253">
        <f t="shared" si="0"/>
        <v>-995000</v>
      </c>
      <c r="D48" s="7"/>
      <c r="E48" s="8"/>
      <c r="F48" s="58"/>
    </row>
    <row r="49" spans="1:6" ht="15.6" x14ac:dyDescent="0.3">
      <c r="A49" s="3"/>
      <c r="B49" s="3"/>
      <c r="C49" s="253">
        <f t="shared" si="0"/>
        <v>-995000</v>
      </c>
      <c r="D49" s="7"/>
      <c r="E49" s="8"/>
      <c r="F49" s="58"/>
    </row>
    <row r="50" spans="1:6" ht="15.6" x14ac:dyDescent="0.3">
      <c r="A50" s="3"/>
      <c r="B50" s="3"/>
      <c r="C50" s="253">
        <f t="shared" si="0"/>
        <v>-995000</v>
      </c>
      <c r="D50" s="7"/>
      <c r="E50" s="8"/>
      <c r="F50" s="58"/>
    </row>
    <row r="51" spans="1:6" ht="15.6" x14ac:dyDescent="0.3">
      <c r="A51" s="3"/>
      <c r="B51" s="3"/>
      <c r="C51" s="253">
        <f t="shared" si="0"/>
        <v>-995000</v>
      </c>
      <c r="D51" s="7"/>
      <c r="E51" s="8"/>
      <c r="F51" s="58"/>
    </row>
    <row r="52" spans="1:6" ht="15.6" x14ac:dyDescent="0.3">
      <c r="A52" s="3"/>
      <c r="B52" s="3"/>
      <c r="C52" s="253">
        <f t="shared" si="0"/>
        <v>-995000</v>
      </c>
      <c r="D52" s="7"/>
      <c r="E52" s="8"/>
      <c r="F52" s="58"/>
    </row>
    <row r="53" spans="1:6" ht="15.6" x14ac:dyDescent="0.3">
      <c r="A53" s="3"/>
      <c r="B53" s="3"/>
      <c r="C53" s="253">
        <f t="shared" si="0"/>
        <v>-995000</v>
      </c>
      <c r="D53" s="7"/>
      <c r="E53" s="8"/>
      <c r="F53" s="58"/>
    </row>
    <row r="54" spans="1:6" ht="15.6" x14ac:dyDescent="0.3">
      <c r="A54" s="3"/>
      <c r="B54" s="3"/>
      <c r="C54" s="253">
        <f t="shared" si="0"/>
        <v>-995000</v>
      </c>
      <c r="D54" s="7"/>
      <c r="E54" s="8"/>
      <c r="F54" s="58"/>
    </row>
    <row r="55" spans="1:6" ht="15.6" x14ac:dyDescent="0.3">
      <c r="A55" s="3"/>
      <c r="B55" s="3"/>
      <c r="C55" s="253">
        <f t="shared" si="0"/>
        <v>-995000</v>
      </c>
      <c r="D55" s="7"/>
      <c r="E55" s="8"/>
      <c r="F55" s="58"/>
    </row>
    <row r="56" spans="1:6" ht="15.6" x14ac:dyDescent="0.3">
      <c r="A56" s="3"/>
      <c r="B56" s="3"/>
      <c r="C56" s="253">
        <f t="shared" si="0"/>
        <v>-995000</v>
      </c>
      <c r="D56" s="7"/>
      <c r="E56" s="8"/>
      <c r="F56" s="58"/>
    </row>
    <row r="57" spans="1:6" ht="15.6" x14ac:dyDescent="0.3">
      <c r="A57" s="3"/>
      <c r="B57" s="3"/>
      <c r="C57" s="253">
        <f t="shared" si="0"/>
        <v>-995000</v>
      </c>
      <c r="D57" s="7"/>
      <c r="E57" s="8"/>
      <c r="F57" s="58"/>
    </row>
    <row r="58" spans="1:6" ht="15.6" x14ac:dyDescent="0.3">
      <c r="A58" s="3"/>
      <c r="B58" s="3"/>
      <c r="C58" s="253">
        <f t="shared" si="0"/>
        <v>-995000</v>
      </c>
      <c r="D58" s="7"/>
      <c r="E58" s="8"/>
      <c r="F58" s="58"/>
    </row>
    <row r="59" spans="1:6" ht="15.6" x14ac:dyDescent="0.3">
      <c r="A59" s="3"/>
      <c r="B59" s="3"/>
      <c r="C59" s="253">
        <f t="shared" si="0"/>
        <v>-995000</v>
      </c>
      <c r="D59" s="7"/>
      <c r="E59" s="8"/>
      <c r="F59" s="58"/>
    </row>
    <row r="60" spans="1:6" ht="15.6" x14ac:dyDescent="0.3">
      <c r="A60" s="3"/>
      <c r="B60" s="3"/>
      <c r="C60" s="253">
        <f t="shared" si="0"/>
        <v>-995000</v>
      </c>
      <c r="D60" s="7"/>
      <c r="E60" s="8"/>
      <c r="F60" s="58"/>
    </row>
    <row r="61" spans="1:6" ht="15.6" x14ac:dyDescent="0.3">
      <c r="A61" s="3"/>
      <c r="B61" s="3"/>
      <c r="C61" s="253">
        <f t="shared" si="0"/>
        <v>-995000</v>
      </c>
      <c r="D61" s="7"/>
      <c r="E61" s="8"/>
      <c r="F61" s="58"/>
    </row>
    <row r="62" spans="1:6" ht="15.6" x14ac:dyDescent="0.3">
      <c r="A62" s="3"/>
      <c r="B62" s="3"/>
      <c r="C62" s="253">
        <f t="shared" si="0"/>
        <v>-995000</v>
      </c>
      <c r="D62" s="7"/>
      <c r="E62" s="8"/>
      <c r="F62" s="58"/>
    </row>
    <row r="63" spans="1:6" ht="15.6" x14ac:dyDescent="0.3">
      <c r="A63" s="3"/>
      <c r="B63" s="3"/>
      <c r="C63" s="253">
        <f t="shared" si="0"/>
        <v>-995000</v>
      </c>
      <c r="D63" s="7"/>
      <c r="E63" s="8"/>
      <c r="F63" s="58"/>
    </row>
    <row r="64" spans="1:6" ht="15.6" x14ac:dyDescent="0.3">
      <c r="A64" s="3"/>
      <c r="B64" s="3"/>
      <c r="C64" s="253">
        <f t="shared" si="0"/>
        <v>-995000</v>
      </c>
      <c r="D64" s="7"/>
      <c r="E64" s="8"/>
      <c r="F64" s="58"/>
    </row>
    <row r="65" spans="1:6" ht="15.6" x14ac:dyDescent="0.3">
      <c r="A65" s="3"/>
      <c r="B65" s="3"/>
      <c r="C65" s="253">
        <f t="shared" si="0"/>
        <v>-995000</v>
      </c>
      <c r="D65" s="7"/>
      <c r="E65" s="8"/>
      <c r="F65" s="58"/>
    </row>
    <row r="66" spans="1:6" ht="15.6" x14ac:dyDescent="0.3">
      <c r="A66" s="3"/>
      <c r="B66" s="3"/>
      <c r="C66" s="253">
        <f t="shared" si="0"/>
        <v>-995000</v>
      </c>
      <c r="D66" s="7"/>
      <c r="E66" s="8"/>
      <c r="F66" s="58"/>
    </row>
    <row r="67" spans="1:6" ht="15.6" x14ac:dyDescent="0.3">
      <c r="A67" s="3"/>
      <c r="B67" s="3"/>
      <c r="C67" s="253">
        <f t="shared" si="0"/>
        <v>-995000</v>
      </c>
      <c r="D67" s="7"/>
      <c r="E67" s="8"/>
      <c r="F67" s="58"/>
    </row>
    <row r="68" spans="1:6" ht="15.6" x14ac:dyDescent="0.3">
      <c r="A68" s="3"/>
      <c r="B68" s="3"/>
      <c r="C68" s="253">
        <f t="shared" si="0"/>
        <v>-995000</v>
      </c>
      <c r="D68" s="7"/>
      <c r="E68" s="8"/>
      <c r="F68" s="58"/>
    </row>
    <row r="69" spans="1:6" ht="15.6" x14ac:dyDescent="0.3">
      <c r="A69" s="3"/>
      <c r="B69" s="3"/>
      <c r="C69" s="253">
        <f t="shared" si="0"/>
        <v>-995000</v>
      </c>
      <c r="D69" s="52"/>
      <c r="E69" s="8"/>
      <c r="F69" s="58"/>
    </row>
    <row r="70" spans="1:6" ht="15.6" x14ac:dyDescent="0.3">
      <c r="A70" s="3"/>
      <c r="B70" s="3"/>
      <c r="C70" s="253">
        <f t="shared" si="0"/>
        <v>-995000</v>
      </c>
      <c r="D70" s="7"/>
      <c r="E70" s="8"/>
      <c r="F70" s="58"/>
    </row>
    <row r="71" spans="1:6" ht="15.6" x14ac:dyDescent="0.3">
      <c r="A71" s="3"/>
      <c r="B71" s="3"/>
      <c r="C71" s="253">
        <f t="shared" ref="C71:C134" si="7">IF(A71&gt;0,C70+A71-B71,C70-B71)</f>
        <v>-995000</v>
      </c>
      <c r="D71" s="7"/>
      <c r="E71" s="8"/>
      <c r="F71" s="58"/>
    </row>
    <row r="72" spans="1:6" ht="15.6" x14ac:dyDescent="0.3">
      <c r="A72" s="3"/>
      <c r="B72" s="3"/>
      <c r="C72" s="253">
        <f t="shared" si="7"/>
        <v>-995000</v>
      </c>
      <c r="D72" s="7"/>
      <c r="E72" s="8"/>
      <c r="F72" s="58"/>
    </row>
    <row r="73" spans="1:6" ht="15.6" x14ac:dyDescent="0.3">
      <c r="A73" s="3"/>
      <c r="B73" s="3"/>
      <c r="C73" s="253">
        <f t="shared" si="7"/>
        <v>-995000</v>
      </c>
      <c r="D73" s="7"/>
      <c r="E73" s="8"/>
      <c r="F73" s="58"/>
    </row>
    <row r="74" spans="1:6" ht="15.6" x14ac:dyDescent="0.3">
      <c r="A74" s="3"/>
      <c r="B74" s="3"/>
      <c r="C74" s="253">
        <f t="shared" si="7"/>
        <v>-995000</v>
      </c>
      <c r="D74" s="7"/>
      <c r="E74" s="8"/>
      <c r="F74" s="58"/>
    </row>
    <row r="75" spans="1:6" ht="15.6" x14ac:dyDescent="0.3">
      <c r="A75" s="3"/>
      <c r="B75" s="3"/>
      <c r="C75" s="253">
        <f t="shared" si="7"/>
        <v>-995000</v>
      </c>
      <c r="D75" s="7"/>
      <c r="E75" s="8"/>
      <c r="F75" s="58"/>
    </row>
    <row r="76" spans="1:6" ht="15.6" x14ac:dyDescent="0.3">
      <c r="A76" s="3"/>
      <c r="B76" s="3"/>
      <c r="C76" s="253">
        <f t="shared" si="7"/>
        <v>-995000</v>
      </c>
      <c r="D76" s="7"/>
      <c r="E76" s="8"/>
      <c r="F76" s="58"/>
    </row>
    <row r="77" spans="1:6" ht="15.6" x14ac:dyDescent="0.3">
      <c r="A77" s="3"/>
      <c r="B77" s="3"/>
      <c r="C77" s="253">
        <f t="shared" si="7"/>
        <v>-995000</v>
      </c>
      <c r="D77" s="7"/>
      <c r="E77" s="8"/>
      <c r="F77" s="58"/>
    </row>
    <row r="78" spans="1:6" ht="15.6" x14ac:dyDescent="0.3">
      <c r="A78" s="3"/>
      <c r="B78" s="3"/>
      <c r="C78" s="253">
        <f t="shared" si="7"/>
        <v>-995000</v>
      </c>
      <c r="D78" s="7"/>
      <c r="E78" s="8"/>
      <c r="F78" s="58"/>
    </row>
    <row r="79" spans="1:6" ht="15.6" x14ac:dyDescent="0.3">
      <c r="A79" s="3"/>
      <c r="B79" s="3"/>
      <c r="C79" s="253">
        <f t="shared" si="7"/>
        <v>-995000</v>
      </c>
      <c r="D79" s="7"/>
      <c r="E79" s="8"/>
      <c r="F79" s="58"/>
    </row>
    <row r="80" spans="1:6" ht="15.6" x14ac:dyDescent="0.3">
      <c r="A80" s="3"/>
      <c r="B80" s="3"/>
      <c r="C80" s="253">
        <f t="shared" si="7"/>
        <v>-995000</v>
      </c>
      <c r="D80" s="7"/>
      <c r="E80" s="8"/>
      <c r="F80" s="58"/>
    </row>
    <row r="81" spans="1:6" ht="15.6" x14ac:dyDescent="0.3">
      <c r="A81" s="3"/>
      <c r="B81" s="3"/>
      <c r="C81" s="253">
        <f t="shared" si="7"/>
        <v>-995000</v>
      </c>
      <c r="D81" s="7"/>
      <c r="E81" s="8"/>
      <c r="F81" s="58"/>
    </row>
    <row r="82" spans="1:6" ht="15.6" x14ac:dyDescent="0.3">
      <c r="A82" s="3"/>
      <c r="B82" s="3"/>
      <c r="C82" s="253">
        <f t="shared" si="7"/>
        <v>-995000</v>
      </c>
      <c r="D82" s="7"/>
      <c r="E82" s="8"/>
      <c r="F82" s="58"/>
    </row>
    <row r="83" spans="1:6" ht="15.6" x14ac:dyDescent="0.3">
      <c r="A83" s="3"/>
      <c r="B83" s="3"/>
      <c r="C83" s="253">
        <f t="shared" si="7"/>
        <v>-995000</v>
      </c>
      <c r="D83" s="7"/>
      <c r="E83" s="8"/>
      <c r="F83" s="58"/>
    </row>
    <row r="84" spans="1:6" ht="15.6" x14ac:dyDescent="0.3">
      <c r="A84" s="3"/>
      <c r="B84" s="3"/>
      <c r="C84" s="253">
        <f t="shared" si="7"/>
        <v>-995000</v>
      </c>
      <c r="D84" s="7"/>
      <c r="E84" s="8"/>
      <c r="F84" s="58"/>
    </row>
    <row r="85" spans="1:6" ht="15.6" x14ac:dyDescent="0.3">
      <c r="A85" s="3"/>
      <c r="B85" s="3"/>
      <c r="C85" s="253">
        <f t="shared" si="7"/>
        <v>-995000</v>
      </c>
      <c r="D85" s="7"/>
      <c r="E85" s="8"/>
      <c r="F85" s="58"/>
    </row>
    <row r="86" spans="1:6" ht="15.6" x14ac:dyDescent="0.3">
      <c r="A86" s="3"/>
      <c r="B86" s="3"/>
      <c r="C86" s="253">
        <f t="shared" si="7"/>
        <v>-995000</v>
      </c>
      <c r="D86" s="7"/>
      <c r="E86" s="8"/>
      <c r="F86" s="58"/>
    </row>
    <row r="87" spans="1:6" ht="15.6" x14ac:dyDescent="0.3">
      <c r="A87" s="3"/>
      <c r="B87" s="3"/>
      <c r="C87" s="253">
        <f t="shared" si="7"/>
        <v>-995000</v>
      </c>
      <c r="D87" s="7"/>
      <c r="E87" s="8"/>
      <c r="F87" s="58"/>
    </row>
    <row r="88" spans="1:6" ht="15.6" x14ac:dyDescent="0.3">
      <c r="A88" s="3"/>
      <c r="B88" s="3"/>
      <c r="C88" s="253">
        <f t="shared" si="7"/>
        <v>-995000</v>
      </c>
      <c r="D88" s="7"/>
      <c r="E88" s="8"/>
      <c r="F88" s="7"/>
    </row>
    <row r="89" spans="1:6" ht="15.6" x14ac:dyDescent="0.3">
      <c r="A89" s="3"/>
      <c r="B89" s="3"/>
      <c r="C89" s="253">
        <f t="shared" si="7"/>
        <v>-995000</v>
      </c>
      <c r="D89" s="7"/>
      <c r="E89" s="8"/>
      <c r="F89" s="7"/>
    </row>
    <row r="90" spans="1:6" ht="15.6" x14ac:dyDescent="0.3">
      <c r="A90" s="3"/>
      <c r="B90" s="3"/>
      <c r="C90" s="253">
        <f t="shared" si="7"/>
        <v>-995000</v>
      </c>
      <c r="D90" s="7"/>
      <c r="E90" s="8"/>
      <c r="F90" s="7"/>
    </row>
    <row r="91" spans="1:6" ht="15.6" x14ac:dyDescent="0.3">
      <c r="A91" s="3"/>
      <c r="B91" s="3"/>
      <c r="C91" s="253">
        <f t="shared" si="7"/>
        <v>-995000</v>
      </c>
      <c r="D91" s="7"/>
      <c r="E91" s="8"/>
      <c r="F91" s="7"/>
    </row>
    <row r="92" spans="1:6" ht="15.6" x14ac:dyDescent="0.3">
      <c r="A92" s="3"/>
      <c r="B92" s="3"/>
      <c r="C92" s="253">
        <f t="shared" si="7"/>
        <v>-995000</v>
      </c>
      <c r="D92" s="7"/>
      <c r="E92" s="8"/>
      <c r="F92" s="7"/>
    </row>
    <row r="93" spans="1:6" ht="15.6" x14ac:dyDescent="0.3">
      <c r="A93" s="3"/>
      <c r="B93" s="3"/>
      <c r="C93" s="253">
        <f t="shared" si="7"/>
        <v>-995000</v>
      </c>
      <c r="D93" s="7"/>
      <c r="E93" s="8"/>
      <c r="F93" s="7"/>
    </row>
    <row r="94" spans="1:6" ht="15.6" x14ac:dyDescent="0.3">
      <c r="A94" s="3"/>
      <c r="B94" s="3"/>
      <c r="C94" s="253">
        <f t="shared" si="7"/>
        <v>-995000</v>
      </c>
      <c r="D94" s="7"/>
      <c r="E94" s="8"/>
      <c r="F94" s="7"/>
    </row>
    <row r="95" spans="1:6" ht="15.6" x14ac:dyDescent="0.3">
      <c r="A95" s="3"/>
      <c r="B95" s="3"/>
      <c r="C95" s="253">
        <f t="shared" si="7"/>
        <v>-995000</v>
      </c>
      <c r="D95" s="7"/>
      <c r="E95" s="8"/>
      <c r="F95" s="7"/>
    </row>
    <row r="96" spans="1:6" ht="15.6" x14ac:dyDescent="0.3">
      <c r="A96" s="3"/>
      <c r="B96" s="3"/>
      <c r="C96" s="253">
        <f t="shared" si="7"/>
        <v>-995000</v>
      </c>
      <c r="D96" s="7"/>
      <c r="E96" s="8"/>
      <c r="F96" s="7"/>
    </row>
    <row r="97" spans="1:6" ht="15.6" x14ac:dyDescent="0.3">
      <c r="A97" s="3"/>
      <c r="B97" s="3"/>
      <c r="C97" s="253">
        <f t="shared" si="7"/>
        <v>-995000</v>
      </c>
      <c r="D97" s="7"/>
      <c r="E97" s="8"/>
      <c r="F97" s="7"/>
    </row>
    <row r="98" spans="1:6" ht="15.6" x14ac:dyDescent="0.3">
      <c r="A98" s="3"/>
      <c r="B98" s="3"/>
      <c r="C98" s="253">
        <f t="shared" si="7"/>
        <v>-995000</v>
      </c>
      <c r="D98" s="7"/>
      <c r="E98" s="8"/>
      <c r="F98" s="7"/>
    </row>
    <row r="99" spans="1:6" ht="15.6" x14ac:dyDescent="0.3">
      <c r="A99" s="3"/>
      <c r="B99" s="3"/>
      <c r="C99" s="253">
        <f t="shared" si="7"/>
        <v>-995000</v>
      </c>
      <c r="D99" s="7"/>
      <c r="E99" s="8"/>
      <c r="F99" s="7"/>
    </row>
    <row r="100" spans="1:6" ht="15.6" x14ac:dyDescent="0.3">
      <c r="A100" s="3"/>
      <c r="B100" s="3"/>
      <c r="C100" s="253">
        <f t="shared" si="7"/>
        <v>-995000</v>
      </c>
      <c r="D100" s="7"/>
      <c r="E100" s="8"/>
      <c r="F100" s="7"/>
    </row>
    <row r="101" spans="1:6" ht="15.6" x14ac:dyDescent="0.3">
      <c r="A101" s="3"/>
      <c r="B101" s="3"/>
      <c r="C101" s="253">
        <f t="shared" si="7"/>
        <v>-995000</v>
      </c>
      <c r="D101" s="7"/>
      <c r="E101" s="8"/>
      <c r="F101" s="7"/>
    </row>
    <row r="102" spans="1:6" ht="15.6" x14ac:dyDescent="0.3">
      <c r="A102" s="3"/>
      <c r="B102" s="3"/>
      <c r="C102" s="253">
        <f t="shared" si="7"/>
        <v>-995000</v>
      </c>
      <c r="D102" s="7"/>
      <c r="E102" s="8"/>
      <c r="F102" s="7"/>
    </row>
    <row r="103" spans="1:6" ht="15.6" x14ac:dyDescent="0.3">
      <c r="A103" s="3"/>
      <c r="B103" s="3"/>
      <c r="C103" s="253">
        <f t="shared" si="7"/>
        <v>-995000</v>
      </c>
      <c r="D103" s="7"/>
      <c r="E103" s="8"/>
      <c r="F103" s="7"/>
    </row>
    <row r="104" spans="1:6" ht="15.6" x14ac:dyDescent="0.3">
      <c r="A104" s="3"/>
      <c r="B104" s="3"/>
      <c r="C104" s="253">
        <f t="shared" si="7"/>
        <v>-995000</v>
      </c>
      <c r="D104" s="7"/>
      <c r="E104" s="8"/>
      <c r="F104" s="7"/>
    </row>
    <row r="105" spans="1:6" ht="15.6" x14ac:dyDescent="0.3">
      <c r="A105" s="3"/>
      <c r="B105" s="3"/>
      <c r="C105" s="253">
        <f t="shared" si="7"/>
        <v>-995000</v>
      </c>
      <c r="D105" s="7"/>
      <c r="E105" s="8"/>
      <c r="F105" s="7"/>
    </row>
    <row r="106" spans="1:6" ht="15.6" x14ac:dyDescent="0.3">
      <c r="A106" s="3"/>
      <c r="B106" s="3"/>
      <c r="C106" s="253">
        <f t="shared" si="7"/>
        <v>-995000</v>
      </c>
      <c r="D106" s="7"/>
      <c r="E106" s="8"/>
      <c r="F106" s="7"/>
    </row>
    <row r="107" spans="1:6" ht="15.6" x14ac:dyDescent="0.3">
      <c r="A107" s="3"/>
      <c r="B107" s="3"/>
      <c r="C107" s="253">
        <f t="shared" si="7"/>
        <v>-995000</v>
      </c>
      <c r="D107" s="7"/>
      <c r="E107" s="8"/>
      <c r="F107" s="7"/>
    </row>
    <row r="108" spans="1:6" ht="15.6" x14ac:dyDescent="0.3">
      <c r="A108" s="3"/>
      <c r="B108" s="3"/>
      <c r="C108" s="253">
        <f t="shared" si="7"/>
        <v>-995000</v>
      </c>
      <c r="D108" s="7"/>
      <c r="E108" s="8"/>
      <c r="F108" s="7"/>
    </row>
    <row r="109" spans="1:6" ht="15.6" x14ac:dyDescent="0.3">
      <c r="A109" s="3"/>
      <c r="B109" s="3"/>
      <c r="C109" s="253">
        <f t="shared" si="7"/>
        <v>-995000</v>
      </c>
      <c r="D109" s="7"/>
      <c r="E109" s="8"/>
      <c r="F109" s="7"/>
    </row>
    <row r="110" spans="1:6" ht="15.6" x14ac:dyDescent="0.3">
      <c r="A110" s="3"/>
      <c r="B110" s="3"/>
      <c r="C110" s="253">
        <f t="shared" si="7"/>
        <v>-995000</v>
      </c>
      <c r="D110" s="7"/>
      <c r="E110" s="8"/>
      <c r="F110" s="7"/>
    </row>
    <row r="111" spans="1:6" ht="15.6" x14ac:dyDescent="0.3">
      <c r="A111" s="3"/>
      <c r="B111" s="3"/>
      <c r="C111" s="253">
        <f t="shared" si="7"/>
        <v>-995000</v>
      </c>
      <c r="D111" s="7"/>
      <c r="E111" s="8"/>
      <c r="F111" s="7"/>
    </row>
    <row r="112" spans="1:6" ht="15.6" x14ac:dyDescent="0.3">
      <c r="A112" s="3"/>
      <c r="B112" s="3"/>
      <c r="C112" s="253">
        <f t="shared" si="7"/>
        <v>-995000</v>
      </c>
      <c r="D112" s="7"/>
      <c r="E112" s="8"/>
      <c r="F112" s="7"/>
    </row>
    <row r="113" spans="1:6" ht="15.6" x14ac:dyDescent="0.3">
      <c r="A113" s="3"/>
      <c r="B113" s="3"/>
      <c r="C113" s="253">
        <f t="shared" si="7"/>
        <v>-995000</v>
      </c>
      <c r="D113" s="7"/>
      <c r="E113" s="8"/>
      <c r="F113" s="7"/>
    </row>
    <row r="114" spans="1:6" ht="15.6" x14ac:dyDescent="0.3">
      <c r="A114" s="3"/>
      <c r="B114" s="3"/>
      <c r="C114" s="253">
        <f t="shared" si="7"/>
        <v>-995000</v>
      </c>
      <c r="D114" s="7"/>
      <c r="E114" s="8"/>
      <c r="F114" s="7"/>
    </row>
    <row r="115" spans="1:6" ht="15.6" x14ac:dyDescent="0.3">
      <c r="A115" s="3"/>
      <c r="B115" s="3"/>
      <c r="C115" s="253">
        <f t="shared" si="7"/>
        <v>-995000</v>
      </c>
      <c r="D115" s="7"/>
      <c r="E115" s="8"/>
      <c r="F115" s="7"/>
    </row>
    <row r="116" spans="1:6" ht="15.6" x14ac:dyDescent="0.3">
      <c r="A116" s="3"/>
      <c r="B116" s="3"/>
      <c r="C116" s="253">
        <f t="shared" si="7"/>
        <v>-995000</v>
      </c>
      <c r="D116" s="7"/>
      <c r="E116" s="8"/>
      <c r="F116" s="7"/>
    </row>
    <row r="117" spans="1:6" ht="15.6" x14ac:dyDescent="0.3">
      <c r="A117" s="3"/>
      <c r="B117" s="3"/>
      <c r="C117" s="253">
        <f t="shared" si="7"/>
        <v>-995000</v>
      </c>
      <c r="D117" s="7"/>
      <c r="E117" s="8"/>
      <c r="F117" s="7"/>
    </row>
    <row r="118" spans="1:6" ht="15.6" x14ac:dyDescent="0.3">
      <c r="A118" s="3"/>
      <c r="B118" s="3"/>
      <c r="C118" s="253">
        <f t="shared" si="7"/>
        <v>-995000</v>
      </c>
      <c r="D118" s="7"/>
      <c r="E118" s="8"/>
      <c r="F118" s="7"/>
    </row>
    <row r="119" spans="1:6" ht="15.6" x14ac:dyDescent="0.3">
      <c r="A119" s="3"/>
      <c r="B119" s="3"/>
      <c r="C119" s="253">
        <f t="shared" si="7"/>
        <v>-995000</v>
      </c>
      <c r="D119" s="7"/>
      <c r="E119" s="8"/>
      <c r="F119" s="7"/>
    </row>
    <row r="120" spans="1:6" ht="15.6" x14ac:dyDescent="0.3">
      <c r="A120" s="3"/>
      <c r="B120" s="3"/>
      <c r="C120" s="253">
        <f t="shared" si="7"/>
        <v>-995000</v>
      </c>
      <c r="D120" s="7"/>
      <c r="E120" s="8"/>
      <c r="F120" s="7"/>
    </row>
    <row r="121" spans="1:6" ht="15.6" x14ac:dyDescent="0.3">
      <c r="A121" s="3"/>
      <c r="B121" s="3"/>
      <c r="C121" s="253">
        <f t="shared" si="7"/>
        <v>-995000</v>
      </c>
      <c r="D121" s="7"/>
      <c r="E121" s="8"/>
      <c r="F121" s="7"/>
    </row>
    <row r="122" spans="1:6" ht="15.6" x14ac:dyDescent="0.3">
      <c r="A122" s="3"/>
      <c r="B122" s="3"/>
      <c r="C122" s="253">
        <f t="shared" si="7"/>
        <v>-995000</v>
      </c>
      <c r="D122" s="7"/>
      <c r="E122" s="8"/>
      <c r="F122" s="7"/>
    </row>
    <row r="123" spans="1:6" ht="15.6" x14ac:dyDescent="0.3">
      <c r="A123" s="3"/>
      <c r="B123" s="3"/>
      <c r="C123" s="253">
        <f t="shared" si="7"/>
        <v>-995000</v>
      </c>
      <c r="D123" s="7"/>
      <c r="E123" s="8"/>
      <c r="F123" s="7"/>
    </row>
    <row r="124" spans="1:6" ht="15.6" x14ac:dyDescent="0.3">
      <c r="A124" s="3"/>
      <c r="B124" s="3"/>
      <c r="C124" s="253">
        <f t="shared" si="7"/>
        <v>-995000</v>
      </c>
      <c r="D124" s="7"/>
      <c r="E124" s="8"/>
      <c r="F124" s="7"/>
    </row>
    <row r="125" spans="1:6" ht="15.6" x14ac:dyDescent="0.3">
      <c r="A125" s="3"/>
      <c r="B125" s="3"/>
      <c r="C125" s="253">
        <f t="shared" si="7"/>
        <v>-995000</v>
      </c>
      <c r="D125" s="7"/>
      <c r="E125" s="8"/>
      <c r="F125" s="7"/>
    </row>
    <row r="126" spans="1:6" ht="15.6" x14ac:dyDescent="0.3">
      <c r="A126" s="3"/>
      <c r="B126" s="3"/>
      <c r="C126" s="253">
        <f t="shared" si="7"/>
        <v>-995000</v>
      </c>
      <c r="D126" s="7"/>
      <c r="E126" s="8"/>
      <c r="F126" s="7"/>
    </row>
    <row r="127" spans="1:6" ht="15.6" x14ac:dyDescent="0.3">
      <c r="A127" s="3"/>
      <c r="B127" s="3"/>
      <c r="C127" s="253">
        <f t="shared" si="7"/>
        <v>-995000</v>
      </c>
      <c r="D127" s="7"/>
      <c r="E127" s="8"/>
      <c r="F127" s="7"/>
    </row>
    <row r="128" spans="1:6" ht="15.6" x14ac:dyDescent="0.3">
      <c r="A128" s="3"/>
      <c r="B128" s="3"/>
      <c r="C128" s="253">
        <f t="shared" si="7"/>
        <v>-995000</v>
      </c>
      <c r="D128" s="7"/>
      <c r="E128" s="8"/>
      <c r="F128" s="7"/>
    </row>
    <row r="129" spans="1:6" ht="15.6" x14ac:dyDescent="0.3">
      <c r="A129" s="3"/>
      <c r="B129" s="3"/>
      <c r="C129" s="253">
        <f t="shared" si="7"/>
        <v>-995000</v>
      </c>
      <c r="D129" s="7"/>
      <c r="E129" s="8"/>
      <c r="F129" s="7"/>
    </row>
    <row r="130" spans="1:6" ht="15.6" x14ac:dyDescent="0.3">
      <c r="A130" s="3"/>
      <c r="B130" s="3"/>
      <c r="C130" s="253">
        <f t="shared" si="7"/>
        <v>-995000</v>
      </c>
      <c r="D130" s="7"/>
      <c r="E130" s="8"/>
      <c r="F130" s="7"/>
    </row>
    <row r="131" spans="1:6" ht="15.6" x14ac:dyDescent="0.3">
      <c r="A131" s="3"/>
      <c r="B131" s="3"/>
      <c r="C131" s="253">
        <f t="shared" si="7"/>
        <v>-995000</v>
      </c>
      <c r="D131" s="7"/>
      <c r="E131" s="8"/>
      <c r="F131" s="7"/>
    </row>
    <row r="132" spans="1:6" ht="15.6" x14ac:dyDescent="0.3">
      <c r="A132" s="3"/>
      <c r="B132" s="3"/>
      <c r="C132" s="253">
        <f t="shared" si="7"/>
        <v>-995000</v>
      </c>
      <c r="D132" s="7"/>
      <c r="E132" s="8"/>
      <c r="F132" s="7"/>
    </row>
    <row r="133" spans="1:6" ht="15.6" x14ac:dyDescent="0.3">
      <c r="A133" s="3"/>
      <c r="B133" s="3"/>
      <c r="C133" s="253">
        <f t="shared" si="7"/>
        <v>-995000</v>
      </c>
      <c r="D133" s="7"/>
      <c r="E133" s="8"/>
      <c r="F133" s="7"/>
    </row>
    <row r="134" spans="1:6" ht="15.6" x14ac:dyDescent="0.3">
      <c r="A134" s="3"/>
      <c r="B134" s="3"/>
      <c r="C134" s="253">
        <f t="shared" si="7"/>
        <v>-995000</v>
      </c>
      <c r="D134" s="7"/>
      <c r="E134" s="8"/>
      <c r="F134" s="7"/>
    </row>
    <row r="135" spans="1:6" ht="15.6" x14ac:dyDescent="0.3">
      <c r="A135" s="3"/>
      <c r="B135" s="3"/>
      <c r="C135" s="253">
        <f t="shared" ref="C135:C148" si="8">IF(A135&gt;0,C134+A135-B135,C134-B135)</f>
        <v>-995000</v>
      </c>
      <c r="D135" s="7"/>
      <c r="E135" s="8"/>
      <c r="F135" s="7"/>
    </row>
    <row r="136" spans="1:6" ht="15.6" x14ac:dyDescent="0.3">
      <c r="A136" s="3"/>
      <c r="B136" s="3"/>
      <c r="C136" s="253">
        <f t="shared" si="8"/>
        <v>-995000</v>
      </c>
      <c r="D136" s="7"/>
      <c r="E136" s="8"/>
      <c r="F136" s="7"/>
    </row>
    <row r="137" spans="1:6" ht="15.6" x14ac:dyDescent="0.3">
      <c r="A137" s="3"/>
      <c r="B137" s="3"/>
      <c r="C137" s="253">
        <f t="shared" si="8"/>
        <v>-995000</v>
      </c>
      <c r="D137" s="7"/>
      <c r="E137" s="8"/>
      <c r="F137" s="7"/>
    </row>
    <row r="138" spans="1:6" ht="15.6" x14ac:dyDescent="0.3">
      <c r="A138" s="3"/>
      <c r="B138" s="3"/>
      <c r="C138" s="253">
        <f t="shared" si="8"/>
        <v>-995000</v>
      </c>
      <c r="D138" s="7"/>
      <c r="E138" s="8"/>
      <c r="F138" s="7"/>
    </row>
    <row r="139" spans="1:6" ht="15.6" x14ac:dyDescent="0.3">
      <c r="A139" s="3"/>
      <c r="B139" s="3"/>
      <c r="C139" s="253">
        <f t="shared" si="8"/>
        <v>-995000</v>
      </c>
      <c r="D139" s="7"/>
      <c r="E139" s="8"/>
      <c r="F139" s="7"/>
    </row>
    <row r="140" spans="1:6" ht="15.6" x14ac:dyDescent="0.3">
      <c r="A140" s="3"/>
      <c r="B140" s="3"/>
      <c r="C140" s="253">
        <f t="shared" si="8"/>
        <v>-995000</v>
      </c>
      <c r="D140" s="7"/>
      <c r="E140" s="8"/>
      <c r="F140" s="7"/>
    </row>
    <row r="141" spans="1:6" ht="15.6" x14ac:dyDescent="0.3">
      <c r="A141" s="3"/>
      <c r="B141" s="3"/>
      <c r="C141" s="253">
        <f t="shared" si="8"/>
        <v>-995000</v>
      </c>
      <c r="D141" s="7"/>
      <c r="E141" s="8"/>
      <c r="F141" s="7"/>
    </row>
    <row r="142" spans="1:6" ht="15.6" x14ac:dyDescent="0.3">
      <c r="A142" s="3"/>
      <c r="B142" s="3"/>
      <c r="C142" s="253">
        <f t="shared" si="8"/>
        <v>-995000</v>
      </c>
      <c r="D142" s="7"/>
      <c r="E142" s="8"/>
      <c r="F142" s="7"/>
    </row>
    <row r="143" spans="1:6" ht="15.6" x14ac:dyDescent="0.3">
      <c r="A143" s="3"/>
      <c r="B143" s="3"/>
      <c r="C143" s="253">
        <f t="shared" si="8"/>
        <v>-995000</v>
      </c>
      <c r="D143" s="7"/>
      <c r="E143" s="8"/>
      <c r="F143" s="7"/>
    </row>
    <row r="144" spans="1:6" ht="15.6" x14ac:dyDescent="0.3">
      <c r="A144" s="3"/>
      <c r="B144" s="3"/>
      <c r="C144" s="253">
        <f t="shared" si="8"/>
        <v>-995000</v>
      </c>
      <c r="D144" s="7"/>
      <c r="E144" s="8"/>
      <c r="F144" s="7"/>
    </row>
    <row r="145" spans="1:6" ht="15.6" x14ac:dyDescent="0.3">
      <c r="A145" s="3"/>
      <c r="B145" s="3"/>
      <c r="C145" s="253">
        <f t="shared" si="8"/>
        <v>-995000</v>
      </c>
      <c r="D145" s="7"/>
      <c r="E145" s="8"/>
      <c r="F145" s="7"/>
    </row>
    <row r="146" spans="1:6" ht="15.6" x14ac:dyDescent="0.3">
      <c r="A146" s="3"/>
      <c r="B146" s="3"/>
      <c r="C146" s="253">
        <f t="shared" si="8"/>
        <v>-995000</v>
      </c>
      <c r="D146" s="7"/>
      <c r="E146" s="8"/>
      <c r="F146" s="7"/>
    </row>
    <row r="147" spans="1:6" ht="15.6" x14ac:dyDescent="0.3">
      <c r="A147" s="3"/>
      <c r="B147" s="3"/>
      <c r="C147" s="253">
        <f t="shared" si="8"/>
        <v>-995000</v>
      </c>
      <c r="D147" s="7"/>
      <c r="E147" s="8"/>
      <c r="F147" s="7"/>
    </row>
    <row r="148" spans="1:6" ht="15.6" x14ac:dyDescent="0.3">
      <c r="A148" s="3"/>
      <c r="B148" s="3"/>
      <c r="C148" s="253">
        <f t="shared" si="8"/>
        <v>-995000</v>
      </c>
      <c r="D148" s="7"/>
      <c r="E148" s="8"/>
      <c r="F148" s="7"/>
    </row>
    <row r="149" spans="1:6" ht="15.6" x14ac:dyDescent="0.3">
      <c r="A149" s="7"/>
      <c r="B149" s="7"/>
      <c r="C149" s="253"/>
      <c r="D149" s="7"/>
      <c r="E149" s="8"/>
      <c r="F149" s="7"/>
    </row>
    <row r="150" spans="1:6" ht="15.6" x14ac:dyDescent="0.3">
      <c r="A150" s="7"/>
      <c r="B150" s="7"/>
      <c r="C150" s="253"/>
      <c r="D150" s="7"/>
      <c r="E150" s="8"/>
      <c r="F150" s="7"/>
    </row>
    <row r="151" spans="1:6" ht="15.6" x14ac:dyDescent="0.3">
      <c r="A151" s="7"/>
      <c r="B151" s="7"/>
      <c r="C151" s="253">
        <f>IF(A151&gt;0,C148+A151-B151,C148-B151)</f>
        <v>-995000</v>
      </c>
      <c r="D151" s="7"/>
      <c r="E151" s="8"/>
      <c r="F151" s="7"/>
    </row>
  </sheetData>
  <mergeCells count="7">
    <mergeCell ref="F12:F19"/>
    <mergeCell ref="H22:I22"/>
    <mergeCell ref="J22:N22"/>
    <mergeCell ref="O22:P22"/>
    <mergeCell ref="H6:I6"/>
    <mergeCell ref="J6:N6"/>
    <mergeCell ref="O6:P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5"/>
  <sheetViews>
    <sheetView rightToLeft="1" workbookViewId="0">
      <pane ySplit="5" topLeftCell="A6" activePane="bottomLeft" state="frozen"/>
      <selection pane="bottomLeft" activeCell="E20" sqref="E20"/>
    </sheetView>
  </sheetViews>
  <sheetFormatPr defaultColWidth="9" defaultRowHeight="14.4" x14ac:dyDescent="0.3"/>
  <cols>
    <col min="1" max="1" width="15.5546875" customWidth="1"/>
    <col min="2" max="2" width="13.33203125" customWidth="1"/>
    <col min="3" max="3" width="12.88671875" bestFit="1" customWidth="1"/>
    <col min="4" max="4" width="30.6640625" customWidth="1"/>
    <col min="5" max="5" width="20.44140625" bestFit="1" customWidth="1"/>
    <col min="9" max="9" width="7.44140625" customWidth="1"/>
    <col min="10" max="10" width="11" bestFit="1" customWidth="1"/>
    <col min="11" max="11" width="26.6640625" bestFit="1" customWidth="1"/>
    <col min="12" max="12" width="19.5546875" customWidth="1"/>
    <col min="13" max="13" width="15.6640625" customWidth="1"/>
    <col min="14" max="14" width="23.88671875" bestFit="1" customWidth="1"/>
  </cols>
  <sheetData>
    <row r="1" spans="1:14" ht="15.6" x14ac:dyDescent="0.3">
      <c r="A1" s="1"/>
      <c r="B1" s="1"/>
      <c r="C1" s="1"/>
      <c r="D1" s="1"/>
      <c r="E1" s="2"/>
      <c r="F1" s="1"/>
    </row>
    <row r="2" spans="1:14" ht="21.75" customHeight="1" x14ac:dyDescent="0.3">
      <c r="A2" s="3">
        <f>SUBTOTAL(9,A5:A145)</f>
        <v>30480000</v>
      </c>
      <c r="B2" s="3">
        <f>SUBTOTAL(9,B5:B145)</f>
        <v>35640000</v>
      </c>
      <c r="C2" s="3">
        <f>A2-B2</f>
        <v>-5160000</v>
      </c>
      <c r="D2" s="1"/>
      <c r="E2" s="2"/>
      <c r="F2" s="1"/>
      <c r="I2" s="43"/>
      <c r="J2" s="43"/>
      <c r="K2" s="301"/>
      <c r="L2" s="301"/>
      <c r="M2" s="44"/>
      <c r="N2" s="43"/>
    </row>
    <row r="3" spans="1:14" ht="29.25" customHeight="1" x14ac:dyDescent="0.3">
      <c r="A3" s="6" t="s">
        <v>112</v>
      </c>
      <c r="B3" s="6"/>
      <c r="C3" s="6"/>
      <c r="D3" s="5" t="s">
        <v>1</v>
      </c>
      <c r="E3" s="6"/>
      <c r="F3" s="6"/>
      <c r="I3" s="206"/>
      <c r="J3" s="1"/>
      <c r="K3" s="206"/>
      <c r="L3" s="300"/>
      <c r="M3" s="300"/>
      <c r="N3" s="206"/>
    </row>
    <row r="4" spans="1:14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  <c r="I4" s="1"/>
      <c r="J4" s="1"/>
      <c r="K4" s="79"/>
      <c r="L4" s="79"/>
      <c r="M4" s="1"/>
      <c r="N4" s="1"/>
    </row>
    <row r="5" spans="1:14" ht="0.75" customHeight="1" x14ac:dyDescent="0.3">
      <c r="A5" s="7"/>
      <c r="B5" s="7"/>
      <c r="C5" s="7">
        <v>0</v>
      </c>
      <c r="D5" s="7"/>
      <c r="E5" s="8"/>
      <c r="F5" s="7"/>
      <c r="I5" s="1"/>
      <c r="J5" s="1"/>
      <c r="K5" s="79"/>
      <c r="L5" s="79"/>
      <c r="M5" s="1"/>
      <c r="N5" s="1"/>
    </row>
    <row r="6" spans="1:14" ht="24.75" customHeight="1" x14ac:dyDescent="0.3">
      <c r="A6" s="3"/>
      <c r="B6" s="3">
        <f>3000000+32640000</f>
        <v>35640000</v>
      </c>
      <c r="C6" s="3">
        <f>IF(A6&gt;0,C5+A6-B6,C5-B6)</f>
        <v>-35640000</v>
      </c>
      <c r="D6" s="57" t="s">
        <v>113</v>
      </c>
      <c r="E6" s="8">
        <v>46300</v>
      </c>
      <c r="F6" s="58"/>
      <c r="I6" s="6"/>
      <c r="J6" s="5" t="s">
        <v>37</v>
      </c>
      <c r="K6" s="6" t="s">
        <v>119</v>
      </c>
      <c r="L6" s="272" t="s">
        <v>120</v>
      </c>
      <c r="M6" s="272"/>
      <c r="N6" s="6" t="s">
        <v>121</v>
      </c>
    </row>
    <row r="7" spans="1:14" ht="15.6" x14ac:dyDescent="0.3">
      <c r="A7" s="68">
        <v>3000000</v>
      </c>
      <c r="B7" s="3"/>
      <c r="C7" s="3">
        <f t="shared" ref="C7:C70" si="0">IF(A7&gt;0,C6+A7-B7,C6-B7)</f>
        <v>-32640000</v>
      </c>
      <c r="D7" s="69" t="s">
        <v>114</v>
      </c>
      <c r="E7" s="70">
        <v>45564</v>
      </c>
      <c r="F7" s="58"/>
      <c r="I7" s="7" t="s">
        <v>40</v>
      </c>
      <c r="J7" s="7" t="s">
        <v>6</v>
      </c>
      <c r="K7" s="41" t="s">
        <v>41</v>
      </c>
      <c r="L7" s="41" t="s">
        <v>42</v>
      </c>
      <c r="M7" s="7" t="s">
        <v>43</v>
      </c>
      <c r="N7" s="7" t="s">
        <v>7</v>
      </c>
    </row>
    <row r="8" spans="1:14" ht="15.6" x14ac:dyDescent="0.3">
      <c r="A8" s="71">
        <v>1400000</v>
      </c>
      <c r="B8" s="3"/>
      <c r="C8" s="3">
        <f t="shared" si="0"/>
        <v>-31240000</v>
      </c>
      <c r="D8" s="72" t="s">
        <v>115</v>
      </c>
      <c r="E8" s="73">
        <v>45628</v>
      </c>
      <c r="F8" s="58"/>
      <c r="I8" s="7"/>
      <c r="J8" s="7"/>
      <c r="K8" s="41">
        <f>3000000+32640000</f>
        <v>35640000</v>
      </c>
      <c r="L8" s="41"/>
      <c r="M8" s="7">
        <f>K8-L8</f>
        <v>35640000</v>
      </c>
      <c r="N8" s="7" t="s">
        <v>44</v>
      </c>
    </row>
    <row r="9" spans="1:14" ht="15.6" x14ac:dyDescent="0.3">
      <c r="A9" s="71">
        <v>700000</v>
      </c>
      <c r="B9" s="3"/>
      <c r="C9" s="3">
        <f t="shared" si="0"/>
        <v>-30540000</v>
      </c>
      <c r="D9" s="72" t="s">
        <v>116</v>
      </c>
      <c r="E9" s="73">
        <v>45628</v>
      </c>
      <c r="F9" s="58"/>
      <c r="I9" s="7"/>
      <c r="J9" s="46">
        <v>45564</v>
      </c>
      <c r="K9" s="47"/>
      <c r="L9" s="47">
        <v>3000000</v>
      </c>
      <c r="M9" s="48">
        <f>M8-L9</f>
        <v>32640000</v>
      </c>
      <c r="N9" s="48" t="s">
        <v>122</v>
      </c>
    </row>
    <row r="10" spans="1:14" ht="15.6" x14ac:dyDescent="0.3">
      <c r="A10" s="74">
        <v>1000000</v>
      </c>
      <c r="B10" s="3"/>
      <c r="C10" s="3">
        <f t="shared" si="0"/>
        <v>-29540000</v>
      </c>
      <c r="D10" s="75" t="s">
        <v>28</v>
      </c>
      <c r="E10" s="52">
        <v>45692</v>
      </c>
      <c r="F10" s="58"/>
      <c r="I10" s="7">
        <v>1</v>
      </c>
      <c r="J10" s="8">
        <v>45601</v>
      </c>
      <c r="K10" s="41"/>
      <c r="L10" s="41">
        <v>1360000</v>
      </c>
      <c r="M10" s="7">
        <f>M9-L10</f>
        <v>31280000</v>
      </c>
      <c r="N10" s="7" t="s">
        <v>123</v>
      </c>
    </row>
    <row r="11" spans="1:14" ht="15.6" x14ac:dyDescent="0.3">
      <c r="A11" s="74">
        <v>1360000</v>
      </c>
      <c r="B11" s="3"/>
      <c r="C11" s="3">
        <f t="shared" si="0"/>
        <v>-28180000</v>
      </c>
      <c r="D11" s="75" t="s">
        <v>117</v>
      </c>
      <c r="E11" s="52">
        <v>45714</v>
      </c>
      <c r="F11" s="58"/>
      <c r="I11" s="7">
        <v>2</v>
      </c>
      <c r="J11" s="8">
        <v>45631</v>
      </c>
      <c r="K11" s="41"/>
      <c r="L11" s="41">
        <v>1360000</v>
      </c>
      <c r="M11" s="7">
        <f>M10-L11</f>
        <v>29920000</v>
      </c>
      <c r="N11" s="7" t="s">
        <v>123</v>
      </c>
    </row>
    <row r="12" spans="1:14" ht="15.6" x14ac:dyDescent="0.3">
      <c r="A12" s="76">
        <v>1540000</v>
      </c>
      <c r="B12" s="53"/>
      <c r="C12" s="53">
        <f t="shared" si="0"/>
        <v>-26640000</v>
      </c>
      <c r="D12" s="77" t="s">
        <v>118</v>
      </c>
      <c r="E12" s="50"/>
      <c r="F12" s="58"/>
      <c r="I12" s="7">
        <v>3</v>
      </c>
      <c r="J12" s="8">
        <v>45662</v>
      </c>
      <c r="K12" s="41"/>
      <c r="L12" s="41">
        <v>1360000</v>
      </c>
      <c r="M12" s="7">
        <f t="shared" ref="M12:M34" si="1">M11-L12</f>
        <v>28560000</v>
      </c>
      <c r="N12" s="7" t="s">
        <v>123</v>
      </c>
    </row>
    <row r="13" spans="1:14" ht="15.6" x14ac:dyDescent="0.3">
      <c r="A13" s="33">
        <v>800000</v>
      </c>
      <c r="B13" s="3"/>
      <c r="C13" s="3">
        <f t="shared" si="0"/>
        <v>-25840000</v>
      </c>
      <c r="D13" s="78" t="s">
        <v>28</v>
      </c>
      <c r="E13" s="35">
        <v>45741.733460648102</v>
      </c>
      <c r="F13" s="58"/>
      <c r="I13" s="7">
        <v>4</v>
      </c>
      <c r="J13" s="8">
        <v>45693</v>
      </c>
      <c r="K13" s="41"/>
      <c r="L13" s="41">
        <v>1360000</v>
      </c>
      <c r="M13" s="7">
        <f t="shared" si="1"/>
        <v>27200000</v>
      </c>
      <c r="N13" s="7" t="s">
        <v>123</v>
      </c>
    </row>
    <row r="14" spans="1:14" ht="15.6" x14ac:dyDescent="0.3">
      <c r="A14" s="33">
        <v>4080000</v>
      </c>
      <c r="B14" s="3"/>
      <c r="C14" s="3">
        <f t="shared" si="0"/>
        <v>-21760000</v>
      </c>
      <c r="D14" s="78" t="s">
        <v>28</v>
      </c>
      <c r="E14" s="35">
        <v>45853.643200034698</v>
      </c>
      <c r="F14" s="58"/>
      <c r="I14" s="7">
        <v>5</v>
      </c>
      <c r="J14" s="8">
        <v>45721</v>
      </c>
      <c r="K14" s="41"/>
      <c r="L14" s="41">
        <v>1360000</v>
      </c>
      <c r="M14" s="7">
        <f t="shared" si="1"/>
        <v>25840000</v>
      </c>
      <c r="N14" s="7" t="s">
        <v>123</v>
      </c>
    </row>
    <row r="15" spans="1:14" ht="15.6" x14ac:dyDescent="0.3">
      <c r="A15" s="33">
        <v>4080000</v>
      </c>
      <c r="B15" s="3"/>
      <c r="C15" s="3">
        <f t="shared" si="0"/>
        <v>-17680000</v>
      </c>
      <c r="D15" s="78" t="s">
        <v>28</v>
      </c>
      <c r="E15" s="35">
        <v>45931.571006944403</v>
      </c>
      <c r="F15" s="58"/>
      <c r="I15" s="7">
        <v>6</v>
      </c>
      <c r="J15" s="8">
        <v>45752</v>
      </c>
      <c r="K15" s="41"/>
      <c r="L15" s="41">
        <v>1360000</v>
      </c>
      <c r="M15" s="7">
        <f t="shared" si="1"/>
        <v>24480000</v>
      </c>
      <c r="N15" s="7" t="s">
        <v>123</v>
      </c>
    </row>
    <row r="16" spans="1:14" ht="15.6" x14ac:dyDescent="0.3">
      <c r="A16" s="33">
        <v>2720000</v>
      </c>
      <c r="B16" s="3"/>
      <c r="C16" s="3">
        <f t="shared" si="0"/>
        <v>-14960000</v>
      </c>
      <c r="D16" s="78" t="s">
        <v>28</v>
      </c>
      <c r="E16" s="35">
        <v>46020.3308519329</v>
      </c>
      <c r="F16" s="58"/>
      <c r="I16" s="7">
        <v>7</v>
      </c>
      <c r="J16" s="8">
        <v>45782</v>
      </c>
      <c r="K16" s="41"/>
      <c r="L16" s="41">
        <v>1360000</v>
      </c>
      <c r="M16" s="7">
        <f t="shared" si="1"/>
        <v>23120000</v>
      </c>
      <c r="N16" s="7" t="s">
        <v>123</v>
      </c>
    </row>
    <row r="17" spans="1:14" ht="15.6" x14ac:dyDescent="0.3">
      <c r="A17" s="178">
        <v>5440000</v>
      </c>
      <c r="B17" s="3"/>
      <c r="C17" s="3">
        <f t="shared" si="0"/>
        <v>-9520000</v>
      </c>
      <c r="D17" s="78" t="s">
        <v>28</v>
      </c>
      <c r="E17" s="35">
        <v>45786.33085648148</v>
      </c>
      <c r="F17" s="58"/>
      <c r="I17" s="7">
        <v>8</v>
      </c>
      <c r="J17" s="8">
        <v>45813</v>
      </c>
      <c r="K17" s="41"/>
      <c r="L17" s="41">
        <v>1360000</v>
      </c>
      <c r="M17" s="7">
        <f t="shared" si="1"/>
        <v>21760000</v>
      </c>
      <c r="N17" s="7" t="s">
        <v>123</v>
      </c>
    </row>
    <row r="18" spans="1:14" ht="15.6" x14ac:dyDescent="0.3">
      <c r="A18" s="56">
        <v>1360000</v>
      </c>
      <c r="B18" s="3"/>
      <c r="C18" s="3">
        <f t="shared" si="0"/>
        <v>-8160000</v>
      </c>
      <c r="D18" s="78" t="s">
        <v>28</v>
      </c>
      <c r="E18" s="35">
        <v>45803.33085648148</v>
      </c>
      <c r="F18" s="58"/>
      <c r="I18" s="7">
        <v>9</v>
      </c>
      <c r="J18" s="8">
        <v>45843</v>
      </c>
      <c r="K18" s="41"/>
      <c r="L18" s="41">
        <v>1360000</v>
      </c>
      <c r="M18" s="7">
        <f t="shared" si="1"/>
        <v>20400000</v>
      </c>
      <c r="N18" s="7" t="s">
        <v>123</v>
      </c>
    </row>
    <row r="19" spans="1:14" ht="15.6" x14ac:dyDescent="0.3">
      <c r="A19" s="3">
        <v>3000000</v>
      </c>
      <c r="B19" s="3"/>
      <c r="C19" s="3">
        <f t="shared" si="0"/>
        <v>-5160000</v>
      </c>
      <c r="D19" s="7" t="s">
        <v>575</v>
      </c>
      <c r="E19" s="8">
        <v>46308</v>
      </c>
      <c r="F19" s="58"/>
      <c r="I19" s="7">
        <v>10</v>
      </c>
      <c r="J19" s="8">
        <v>45874</v>
      </c>
      <c r="K19" s="41"/>
      <c r="L19" s="41">
        <v>1360000</v>
      </c>
      <c r="M19" s="7">
        <f t="shared" si="1"/>
        <v>19040000</v>
      </c>
      <c r="N19" s="7"/>
    </row>
    <row r="20" spans="1:14" ht="15.6" x14ac:dyDescent="0.3">
      <c r="A20" s="3"/>
      <c r="B20" s="3"/>
      <c r="C20" s="3">
        <f t="shared" si="0"/>
        <v>-5160000</v>
      </c>
      <c r="D20" s="7"/>
      <c r="E20" s="8"/>
      <c r="F20" s="58"/>
      <c r="I20" s="7">
        <v>11</v>
      </c>
      <c r="J20" s="8">
        <v>45905</v>
      </c>
      <c r="K20" s="41"/>
      <c r="L20" s="41">
        <v>1360000</v>
      </c>
      <c r="M20" s="7">
        <f t="shared" si="1"/>
        <v>17680000</v>
      </c>
      <c r="N20" s="7"/>
    </row>
    <row r="21" spans="1:14" ht="15.6" x14ac:dyDescent="0.3">
      <c r="A21" s="3"/>
      <c r="B21" s="3"/>
      <c r="C21" s="3">
        <f t="shared" si="0"/>
        <v>-5160000</v>
      </c>
      <c r="D21" s="7"/>
      <c r="E21" s="8"/>
      <c r="F21" s="58"/>
      <c r="I21" s="7">
        <v>12</v>
      </c>
      <c r="J21" s="8">
        <v>45935</v>
      </c>
      <c r="K21" s="41"/>
      <c r="L21" s="41">
        <v>1360000</v>
      </c>
      <c r="M21" s="7">
        <f t="shared" si="1"/>
        <v>16320000</v>
      </c>
      <c r="N21" s="7"/>
    </row>
    <row r="22" spans="1:14" ht="15.6" x14ac:dyDescent="0.3">
      <c r="A22" s="3"/>
      <c r="B22" s="3"/>
      <c r="C22" s="3">
        <f t="shared" si="0"/>
        <v>-5160000</v>
      </c>
      <c r="D22" s="7"/>
      <c r="E22" s="8"/>
      <c r="F22" s="58"/>
      <c r="I22" s="7">
        <v>13</v>
      </c>
      <c r="J22" s="8">
        <v>45966</v>
      </c>
      <c r="K22" s="41"/>
      <c r="L22" s="41">
        <v>1360000</v>
      </c>
      <c r="M22" s="7">
        <f t="shared" si="1"/>
        <v>14960000</v>
      </c>
      <c r="N22" s="7"/>
    </row>
    <row r="23" spans="1:14" ht="15.6" x14ac:dyDescent="0.3">
      <c r="A23" s="3"/>
      <c r="B23" s="3"/>
      <c r="C23" s="3">
        <f t="shared" si="0"/>
        <v>-5160000</v>
      </c>
      <c r="D23" s="7"/>
      <c r="E23" s="8"/>
      <c r="F23" s="58"/>
      <c r="I23" s="7">
        <v>14</v>
      </c>
      <c r="J23" s="8">
        <v>45996</v>
      </c>
      <c r="K23" s="41"/>
      <c r="L23" s="41">
        <v>1360000</v>
      </c>
      <c r="M23" s="7">
        <f t="shared" si="1"/>
        <v>13600000</v>
      </c>
      <c r="N23" s="7"/>
    </row>
    <row r="24" spans="1:14" ht="15.6" x14ac:dyDescent="0.3">
      <c r="A24" s="3"/>
      <c r="B24" s="3"/>
      <c r="C24" s="3">
        <f t="shared" si="0"/>
        <v>-5160000</v>
      </c>
      <c r="D24" s="7"/>
      <c r="E24" s="8"/>
      <c r="F24" s="58"/>
      <c r="I24" s="7">
        <v>15</v>
      </c>
      <c r="J24" s="8">
        <v>46027</v>
      </c>
      <c r="K24" s="41"/>
      <c r="L24" s="41">
        <v>1360000</v>
      </c>
      <c r="M24" s="7">
        <f t="shared" si="1"/>
        <v>12240000</v>
      </c>
      <c r="N24" s="7"/>
    </row>
    <row r="25" spans="1:14" ht="15.6" x14ac:dyDescent="0.3">
      <c r="A25" s="3"/>
      <c r="B25" s="3"/>
      <c r="C25" s="3">
        <f t="shared" si="0"/>
        <v>-5160000</v>
      </c>
      <c r="D25" s="7"/>
      <c r="E25" s="8"/>
      <c r="F25" s="58"/>
      <c r="I25" s="7">
        <v>16</v>
      </c>
      <c r="J25" s="8">
        <v>46058</v>
      </c>
      <c r="K25" s="41"/>
      <c r="L25" s="41">
        <v>1360000</v>
      </c>
      <c r="M25" s="7">
        <f t="shared" si="1"/>
        <v>10880000</v>
      </c>
      <c r="N25" s="7"/>
    </row>
    <row r="26" spans="1:14" ht="15.6" x14ac:dyDescent="0.3">
      <c r="A26" s="3"/>
      <c r="B26" s="3"/>
      <c r="C26" s="3">
        <f t="shared" si="0"/>
        <v>-5160000</v>
      </c>
      <c r="D26" s="7"/>
      <c r="E26" s="8"/>
      <c r="F26" s="58"/>
      <c r="I26" s="7">
        <v>17</v>
      </c>
      <c r="J26" s="8">
        <v>46086</v>
      </c>
      <c r="K26" s="41"/>
      <c r="L26" s="41">
        <v>1360000</v>
      </c>
      <c r="M26" s="7">
        <f t="shared" si="1"/>
        <v>9520000</v>
      </c>
      <c r="N26" s="7"/>
    </row>
    <row r="27" spans="1:14" ht="15.6" x14ac:dyDescent="0.3">
      <c r="A27" s="3"/>
      <c r="B27" s="3"/>
      <c r="C27" s="3">
        <f t="shared" si="0"/>
        <v>-5160000</v>
      </c>
      <c r="D27" s="7"/>
      <c r="E27" s="8"/>
      <c r="F27" s="58"/>
      <c r="I27" s="7">
        <v>18</v>
      </c>
      <c r="J27" s="8">
        <v>46117</v>
      </c>
      <c r="K27" s="41"/>
      <c r="L27" s="41">
        <v>1360000</v>
      </c>
      <c r="M27" s="7">
        <f t="shared" si="1"/>
        <v>8160000</v>
      </c>
      <c r="N27" s="7"/>
    </row>
    <row r="28" spans="1:14" ht="15.6" x14ac:dyDescent="0.3">
      <c r="A28" s="3"/>
      <c r="B28" s="3"/>
      <c r="C28" s="3">
        <f t="shared" si="0"/>
        <v>-5160000</v>
      </c>
      <c r="D28" s="7"/>
      <c r="E28" s="8"/>
      <c r="F28" s="58"/>
      <c r="I28" s="7">
        <v>19</v>
      </c>
      <c r="J28" s="8">
        <v>46147</v>
      </c>
      <c r="K28" s="41"/>
      <c r="L28" s="49">
        <v>1360000</v>
      </c>
      <c r="M28" s="7">
        <f t="shared" si="1"/>
        <v>6800000</v>
      </c>
      <c r="N28" s="7"/>
    </row>
    <row r="29" spans="1:14" ht="15.6" x14ac:dyDescent="0.3">
      <c r="A29" s="3"/>
      <c r="B29" s="3"/>
      <c r="C29" s="3">
        <f t="shared" si="0"/>
        <v>-5160000</v>
      </c>
      <c r="D29" s="7"/>
      <c r="E29" s="8"/>
      <c r="F29" s="58"/>
      <c r="I29" s="7">
        <v>20</v>
      </c>
      <c r="J29" s="8">
        <v>46178</v>
      </c>
      <c r="K29" s="41"/>
      <c r="L29" s="49">
        <v>1360000</v>
      </c>
      <c r="M29" s="7">
        <f t="shared" si="1"/>
        <v>5440000</v>
      </c>
      <c r="N29" s="7"/>
    </row>
    <row r="30" spans="1:14" ht="15.6" x14ac:dyDescent="0.3">
      <c r="A30" s="3"/>
      <c r="B30" s="3"/>
      <c r="C30" s="3">
        <f t="shared" si="0"/>
        <v>-5160000</v>
      </c>
      <c r="D30" s="7"/>
      <c r="E30" s="8"/>
      <c r="F30" s="58"/>
      <c r="I30" s="7">
        <v>21</v>
      </c>
      <c r="J30" s="8">
        <v>46208</v>
      </c>
      <c r="K30" s="41"/>
      <c r="L30" s="49">
        <v>1360000</v>
      </c>
      <c r="M30" s="7">
        <f t="shared" si="1"/>
        <v>4080000</v>
      </c>
      <c r="N30" s="7"/>
    </row>
    <row r="31" spans="1:14" ht="15.6" x14ac:dyDescent="0.3">
      <c r="A31" s="3"/>
      <c r="B31" s="3"/>
      <c r="C31" s="3">
        <f t="shared" si="0"/>
        <v>-5160000</v>
      </c>
      <c r="D31" s="7"/>
      <c r="E31" s="8"/>
      <c r="F31" s="58"/>
      <c r="I31" s="7">
        <v>22</v>
      </c>
      <c r="J31" s="8">
        <v>46239</v>
      </c>
      <c r="K31" s="41"/>
      <c r="L31" s="49">
        <v>1360000</v>
      </c>
      <c r="M31" s="7">
        <f t="shared" si="1"/>
        <v>2720000</v>
      </c>
      <c r="N31" s="7"/>
    </row>
    <row r="32" spans="1:14" ht="15.6" x14ac:dyDescent="0.3">
      <c r="A32" s="3"/>
      <c r="B32" s="3"/>
      <c r="C32" s="3">
        <f t="shared" si="0"/>
        <v>-5160000</v>
      </c>
      <c r="D32" s="7"/>
      <c r="E32" s="8"/>
      <c r="F32" s="58"/>
      <c r="I32" s="7">
        <v>23</v>
      </c>
      <c r="J32" s="8">
        <v>46270</v>
      </c>
      <c r="K32" s="41"/>
      <c r="L32" s="49">
        <v>1360000</v>
      </c>
      <c r="M32" s="7">
        <f t="shared" si="1"/>
        <v>1360000</v>
      </c>
      <c r="N32" s="7"/>
    </row>
    <row r="33" spans="1:14" ht="15.6" x14ac:dyDescent="0.3">
      <c r="A33" s="3"/>
      <c r="B33" s="3"/>
      <c r="C33" s="3">
        <f t="shared" si="0"/>
        <v>-5160000</v>
      </c>
      <c r="D33" s="7"/>
      <c r="E33" s="8"/>
      <c r="F33" s="58"/>
      <c r="I33" s="7">
        <v>24</v>
      </c>
      <c r="J33" s="8">
        <v>46300</v>
      </c>
      <c r="K33" s="41"/>
      <c r="L33" s="49">
        <v>1360000</v>
      </c>
      <c r="M33" s="7">
        <f t="shared" si="1"/>
        <v>0</v>
      </c>
      <c r="N33" s="7"/>
    </row>
    <row r="34" spans="1:14" ht="15.6" x14ac:dyDescent="0.3">
      <c r="A34" s="3"/>
      <c r="B34" s="3"/>
      <c r="C34" s="3">
        <f t="shared" si="0"/>
        <v>-5160000</v>
      </c>
      <c r="D34" s="7"/>
      <c r="E34" s="8"/>
      <c r="F34" s="58"/>
      <c r="I34" s="7"/>
      <c r="J34" s="8"/>
      <c r="K34" s="41"/>
      <c r="L34" s="41"/>
      <c r="M34" s="7">
        <f t="shared" si="1"/>
        <v>0</v>
      </c>
      <c r="N34" s="7"/>
    </row>
    <row r="35" spans="1:14" ht="15.6" x14ac:dyDescent="0.3">
      <c r="A35" s="3"/>
      <c r="B35" s="3"/>
      <c r="C35" s="3">
        <f t="shared" si="0"/>
        <v>-5160000</v>
      </c>
      <c r="D35" s="7"/>
      <c r="E35" s="8"/>
      <c r="F35" s="58"/>
    </row>
    <row r="36" spans="1:14" ht="15.6" x14ac:dyDescent="0.3">
      <c r="A36" s="3"/>
      <c r="B36" s="3"/>
      <c r="C36" s="3">
        <f t="shared" si="0"/>
        <v>-5160000</v>
      </c>
      <c r="D36" s="7"/>
      <c r="E36" s="8"/>
      <c r="F36" s="58"/>
    </row>
    <row r="37" spans="1:14" ht="15.6" x14ac:dyDescent="0.3">
      <c r="A37" s="3"/>
      <c r="B37" s="3"/>
      <c r="C37" s="3">
        <f t="shared" si="0"/>
        <v>-5160000</v>
      </c>
      <c r="D37" s="7"/>
      <c r="E37" s="8"/>
      <c r="F37" s="58"/>
    </row>
    <row r="38" spans="1:14" ht="15.6" x14ac:dyDescent="0.3">
      <c r="A38" s="3"/>
      <c r="B38" s="3"/>
      <c r="C38" s="3">
        <f t="shared" si="0"/>
        <v>-5160000</v>
      </c>
      <c r="D38" s="7"/>
      <c r="E38" s="8"/>
      <c r="F38" s="58"/>
    </row>
    <row r="39" spans="1:14" ht="15.6" x14ac:dyDescent="0.3">
      <c r="A39" s="3"/>
      <c r="B39" s="3"/>
      <c r="C39" s="3">
        <f t="shared" si="0"/>
        <v>-5160000</v>
      </c>
      <c r="D39" s="7"/>
      <c r="E39" s="8"/>
      <c r="F39" s="58"/>
    </row>
    <row r="40" spans="1:14" ht="15.6" x14ac:dyDescent="0.3">
      <c r="A40" s="3"/>
      <c r="B40" s="3"/>
      <c r="C40" s="3">
        <f t="shared" si="0"/>
        <v>-5160000</v>
      </c>
      <c r="D40" s="7"/>
      <c r="E40" s="8"/>
      <c r="F40" s="58"/>
    </row>
    <row r="41" spans="1:14" ht="15.6" x14ac:dyDescent="0.3">
      <c r="A41" s="3"/>
      <c r="B41" s="3"/>
      <c r="C41" s="3">
        <f t="shared" si="0"/>
        <v>-5160000</v>
      </c>
      <c r="D41" s="7"/>
      <c r="E41" s="8"/>
      <c r="F41" s="58"/>
    </row>
    <row r="42" spans="1:14" ht="15.6" x14ac:dyDescent="0.3">
      <c r="A42" s="3"/>
      <c r="B42" s="3"/>
      <c r="C42" s="3">
        <f t="shared" si="0"/>
        <v>-5160000</v>
      </c>
      <c r="D42" s="7"/>
      <c r="E42" s="8"/>
      <c r="F42" s="58"/>
    </row>
    <row r="43" spans="1:14" ht="15.6" x14ac:dyDescent="0.3">
      <c r="A43" s="3"/>
      <c r="B43" s="3"/>
      <c r="C43" s="3">
        <f t="shared" si="0"/>
        <v>-5160000</v>
      </c>
      <c r="D43" s="7"/>
      <c r="E43" s="8"/>
      <c r="F43" s="58"/>
    </row>
    <row r="44" spans="1:14" ht="15.6" x14ac:dyDescent="0.3">
      <c r="A44" s="3"/>
      <c r="B44" s="3"/>
      <c r="C44" s="3">
        <f t="shared" si="0"/>
        <v>-5160000</v>
      </c>
      <c r="D44" s="7"/>
      <c r="E44" s="8"/>
      <c r="F44" s="58"/>
    </row>
    <row r="45" spans="1:14" ht="15.6" x14ac:dyDescent="0.3">
      <c r="A45" s="3"/>
      <c r="B45" s="3"/>
      <c r="C45" s="3">
        <f t="shared" si="0"/>
        <v>-5160000</v>
      </c>
      <c r="D45" s="7"/>
      <c r="E45" s="8"/>
      <c r="F45" s="58"/>
    </row>
    <row r="46" spans="1:14" ht="15.6" x14ac:dyDescent="0.3">
      <c r="A46" s="3"/>
      <c r="B46" s="3"/>
      <c r="C46" s="3">
        <f t="shared" si="0"/>
        <v>-5160000</v>
      </c>
      <c r="D46" s="7"/>
      <c r="E46" s="8"/>
      <c r="F46" s="58"/>
    </row>
    <row r="47" spans="1:14" ht="15.6" x14ac:dyDescent="0.3">
      <c r="A47" s="3"/>
      <c r="B47" s="3"/>
      <c r="C47" s="3">
        <f t="shared" si="0"/>
        <v>-5160000</v>
      </c>
      <c r="D47" s="7"/>
      <c r="E47" s="8"/>
      <c r="F47" s="58"/>
    </row>
    <row r="48" spans="1:14" ht="15.6" x14ac:dyDescent="0.3">
      <c r="A48" s="3"/>
      <c r="B48" s="3"/>
      <c r="C48" s="3">
        <f t="shared" si="0"/>
        <v>-5160000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-5160000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-5160000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-5160000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-5160000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-5160000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-5160000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-5160000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-5160000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-5160000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-5160000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-5160000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-5160000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-5160000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-5160000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-5160000</v>
      </c>
      <c r="D63" s="52"/>
      <c r="E63" s="8"/>
      <c r="F63" s="58"/>
    </row>
    <row r="64" spans="1:6" ht="15.6" x14ac:dyDescent="0.3">
      <c r="A64" s="3"/>
      <c r="B64" s="3"/>
      <c r="C64" s="3">
        <f t="shared" si="0"/>
        <v>-5160000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-5160000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-5160000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-5160000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-5160000</v>
      </c>
      <c r="D68" s="7"/>
      <c r="E68" s="8"/>
      <c r="F68" s="58"/>
    </row>
    <row r="69" spans="1:6" ht="15.6" x14ac:dyDescent="0.3">
      <c r="A69" s="3"/>
      <c r="B69" s="3"/>
      <c r="C69" s="3">
        <f t="shared" si="0"/>
        <v>-5160000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-5160000</v>
      </c>
      <c r="D70" s="7"/>
      <c r="E70" s="8"/>
      <c r="F70" s="58"/>
    </row>
    <row r="71" spans="1:6" ht="15.6" x14ac:dyDescent="0.3">
      <c r="A71" s="3"/>
      <c r="B71" s="3"/>
      <c r="C71" s="3">
        <f t="shared" ref="C71:C134" si="2">IF(A71&gt;0,C70+A71-B71,C70-B71)</f>
        <v>-5160000</v>
      </c>
      <c r="D71" s="7"/>
      <c r="E71" s="8"/>
      <c r="F71" s="58"/>
    </row>
    <row r="72" spans="1:6" ht="15.6" x14ac:dyDescent="0.3">
      <c r="A72" s="3"/>
      <c r="B72" s="3"/>
      <c r="C72" s="3">
        <f t="shared" si="2"/>
        <v>-5160000</v>
      </c>
      <c r="D72" s="7"/>
      <c r="E72" s="8"/>
      <c r="F72" s="58"/>
    </row>
    <row r="73" spans="1:6" ht="15.6" x14ac:dyDescent="0.3">
      <c r="A73" s="3"/>
      <c r="B73" s="3"/>
      <c r="C73" s="3">
        <f t="shared" si="2"/>
        <v>-5160000</v>
      </c>
      <c r="D73" s="7"/>
      <c r="E73" s="8"/>
      <c r="F73" s="58"/>
    </row>
    <row r="74" spans="1:6" ht="15.6" x14ac:dyDescent="0.3">
      <c r="A74" s="3"/>
      <c r="B74" s="3"/>
      <c r="C74" s="3">
        <f t="shared" si="2"/>
        <v>-5160000</v>
      </c>
      <c r="D74" s="7"/>
      <c r="E74" s="8"/>
      <c r="F74" s="58"/>
    </row>
    <row r="75" spans="1:6" ht="15.6" x14ac:dyDescent="0.3">
      <c r="A75" s="3"/>
      <c r="B75" s="3"/>
      <c r="C75" s="3">
        <f t="shared" si="2"/>
        <v>-5160000</v>
      </c>
      <c r="D75" s="7"/>
      <c r="E75" s="8"/>
      <c r="F75" s="58"/>
    </row>
    <row r="76" spans="1:6" ht="15.6" x14ac:dyDescent="0.3">
      <c r="A76" s="3"/>
      <c r="B76" s="3"/>
      <c r="C76" s="3">
        <f t="shared" si="2"/>
        <v>-5160000</v>
      </c>
      <c r="D76" s="7"/>
      <c r="E76" s="8"/>
      <c r="F76" s="58"/>
    </row>
    <row r="77" spans="1:6" ht="15.6" x14ac:dyDescent="0.3">
      <c r="A77" s="3"/>
      <c r="B77" s="3"/>
      <c r="C77" s="3">
        <f t="shared" si="2"/>
        <v>-5160000</v>
      </c>
      <c r="D77" s="7"/>
      <c r="E77" s="8"/>
      <c r="F77" s="58"/>
    </row>
    <row r="78" spans="1:6" ht="15.6" x14ac:dyDescent="0.3">
      <c r="A78" s="3"/>
      <c r="B78" s="3"/>
      <c r="C78" s="3">
        <f t="shared" si="2"/>
        <v>-5160000</v>
      </c>
      <c r="D78" s="7"/>
      <c r="E78" s="8"/>
      <c r="F78" s="58"/>
    </row>
    <row r="79" spans="1:6" ht="15.6" x14ac:dyDescent="0.3">
      <c r="A79" s="3"/>
      <c r="B79" s="3"/>
      <c r="C79" s="3">
        <f t="shared" si="2"/>
        <v>-5160000</v>
      </c>
      <c r="D79" s="7"/>
      <c r="E79" s="8"/>
      <c r="F79" s="58"/>
    </row>
    <row r="80" spans="1:6" ht="15.6" x14ac:dyDescent="0.3">
      <c r="A80" s="3"/>
      <c r="B80" s="3"/>
      <c r="C80" s="3">
        <f t="shared" si="2"/>
        <v>-5160000</v>
      </c>
      <c r="D80" s="7"/>
      <c r="E80" s="8"/>
      <c r="F80" s="58"/>
    </row>
    <row r="81" spans="1:14" ht="15.6" x14ac:dyDescent="0.3">
      <c r="A81" s="3"/>
      <c r="B81" s="3"/>
      <c r="C81" s="3">
        <f t="shared" si="2"/>
        <v>-5160000</v>
      </c>
      <c r="D81" s="7"/>
      <c r="E81" s="8"/>
      <c r="F81" s="58"/>
    </row>
    <row r="82" spans="1:14" ht="15.6" x14ac:dyDescent="0.3">
      <c r="A82" s="3"/>
      <c r="B82" s="3"/>
      <c r="C82" s="3">
        <f t="shared" si="2"/>
        <v>-5160000</v>
      </c>
      <c r="D82" s="7"/>
      <c r="E82" s="8"/>
      <c r="F82" s="7"/>
    </row>
    <row r="83" spans="1:14" ht="15.6" x14ac:dyDescent="0.3">
      <c r="A83" s="3"/>
      <c r="B83" s="3"/>
      <c r="C83" s="3">
        <f t="shared" si="2"/>
        <v>-5160000</v>
      </c>
      <c r="D83" s="7"/>
      <c r="E83" s="8"/>
      <c r="F83" s="7"/>
    </row>
    <row r="84" spans="1:14" ht="15.6" x14ac:dyDescent="0.3">
      <c r="A84" s="3"/>
      <c r="B84" s="3"/>
      <c r="C84" s="3">
        <f t="shared" si="2"/>
        <v>-5160000</v>
      </c>
      <c r="D84" s="7"/>
      <c r="E84" s="8"/>
      <c r="F84" s="7"/>
    </row>
    <row r="85" spans="1:14" ht="15.6" x14ac:dyDescent="0.3">
      <c r="A85" s="3"/>
      <c r="B85" s="3"/>
      <c r="C85" s="3">
        <f t="shared" si="2"/>
        <v>-5160000</v>
      </c>
      <c r="D85" s="7"/>
      <c r="E85" s="8"/>
      <c r="F85" s="7"/>
    </row>
    <row r="86" spans="1:14" ht="15.6" x14ac:dyDescent="0.3">
      <c r="A86" s="3"/>
      <c r="B86" s="3"/>
      <c r="C86" s="3">
        <f t="shared" si="2"/>
        <v>-5160000</v>
      </c>
      <c r="D86" s="7"/>
      <c r="E86" s="8"/>
      <c r="F86" s="7"/>
    </row>
    <row r="87" spans="1:14" ht="15.6" x14ac:dyDescent="0.3">
      <c r="A87" s="3"/>
      <c r="B87" s="3"/>
      <c r="C87" s="3">
        <f t="shared" si="2"/>
        <v>-5160000</v>
      </c>
      <c r="D87" s="7"/>
      <c r="E87" s="8"/>
      <c r="F87" s="7"/>
    </row>
    <row r="88" spans="1:14" ht="15.6" x14ac:dyDescent="0.3">
      <c r="A88" s="3"/>
      <c r="B88" s="3"/>
      <c r="C88" s="3">
        <f t="shared" si="2"/>
        <v>-5160000</v>
      </c>
      <c r="D88" s="7"/>
      <c r="E88" s="8"/>
      <c r="F88" s="7"/>
    </row>
    <row r="89" spans="1:14" ht="15.6" x14ac:dyDescent="0.3">
      <c r="A89" s="3"/>
      <c r="B89" s="3"/>
      <c r="C89" s="3">
        <f t="shared" si="2"/>
        <v>-5160000</v>
      </c>
      <c r="D89" s="7"/>
      <c r="E89" s="8"/>
      <c r="F89" s="7"/>
    </row>
    <row r="90" spans="1:14" ht="15.6" x14ac:dyDescent="0.3">
      <c r="A90" s="3"/>
      <c r="B90" s="3"/>
      <c r="C90" s="3">
        <f t="shared" si="2"/>
        <v>-5160000</v>
      </c>
      <c r="D90" s="7"/>
      <c r="E90" s="8"/>
      <c r="F90" s="7"/>
    </row>
    <row r="91" spans="1:14" ht="15.6" x14ac:dyDescent="0.3">
      <c r="A91" s="3"/>
      <c r="B91" s="3"/>
      <c r="C91" s="3">
        <f t="shared" si="2"/>
        <v>-5160000</v>
      </c>
      <c r="D91" s="7"/>
      <c r="E91" s="8"/>
      <c r="F91" s="7"/>
    </row>
    <row r="92" spans="1:14" ht="15.6" x14ac:dyDescent="0.3">
      <c r="A92" s="3"/>
      <c r="B92" s="3"/>
      <c r="C92" s="3">
        <f t="shared" si="2"/>
        <v>-5160000</v>
      </c>
      <c r="D92" s="7"/>
      <c r="E92" s="8"/>
      <c r="F92" s="7"/>
    </row>
    <row r="93" spans="1:14" ht="15.6" x14ac:dyDescent="0.3">
      <c r="A93" s="3"/>
      <c r="B93" s="3"/>
      <c r="C93" s="3">
        <f t="shared" si="2"/>
        <v>-5160000</v>
      </c>
      <c r="D93" s="7"/>
      <c r="E93" s="8"/>
      <c r="F93" s="7"/>
    </row>
    <row r="94" spans="1:14" ht="15.6" x14ac:dyDescent="0.3">
      <c r="A94" s="3"/>
      <c r="B94" s="3"/>
      <c r="C94" s="3">
        <f t="shared" si="2"/>
        <v>-5160000</v>
      </c>
      <c r="D94" s="7"/>
      <c r="E94" s="8"/>
      <c r="F94" s="7"/>
    </row>
    <row r="95" spans="1:14" ht="15.6" x14ac:dyDescent="0.3">
      <c r="A95" s="3"/>
      <c r="B95" s="3"/>
      <c r="C95" s="3">
        <f t="shared" si="2"/>
        <v>-5160000</v>
      </c>
      <c r="D95" s="7"/>
      <c r="E95" s="8"/>
      <c r="F95" s="7"/>
      <c r="I95" s="206"/>
      <c r="J95" s="1"/>
      <c r="K95" s="206"/>
      <c r="L95" s="300"/>
      <c r="M95" s="300"/>
      <c r="N95" s="206"/>
    </row>
    <row r="96" spans="1:14" ht="15.6" x14ac:dyDescent="0.3">
      <c r="A96" s="3"/>
      <c r="B96" s="3"/>
      <c r="C96" s="3">
        <f t="shared" si="2"/>
        <v>-5160000</v>
      </c>
      <c r="D96" s="7"/>
      <c r="E96" s="8"/>
      <c r="F96" s="7"/>
      <c r="I96" s="1"/>
      <c r="J96" s="1"/>
      <c r="K96" s="79"/>
      <c r="L96" s="79"/>
      <c r="M96" s="1"/>
      <c r="N96" s="1"/>
    </row>
    <row r="97" spans="1:14" ht="15.6" x14ac:dyDescent="0.3">
      <c r="A97" s="3"/>
      <c r="B97" s="3"/>
      <c r="C97" s="3">
        <f t="shared" si="2"/>
        <v>-5160000</v>
      </c>
      <c r="D97" s="7"/>
      <c r="E97" s="8"/>
      <c r="F97" s="7"/>
      <c r="I97" s="1"/>
      <c r="J97" s="1"/>
      <c r="K97" s="79"/>
      <c r="L97" s="79"/>
      <c r="M97" s="1"/>
      <c r="N97" s="1"/>
    </row>
    <row r="98" spans="1:14" ht="15.6" x14ac:dyDescent="0.3">
      <c r="A98" s="3"/>
      <c r="B98" s="3"/>
      <c r="C98" s="3">
        <f t="shared" si="2"/>
        <v>-5160000</v>
      </c>
      <c r="D98" s="7"/>
      <c r="E98" s="8"/>
      <c r="F98" s="7"/>
      <c r="I98" s="1"/>
      <c r="J98" s="2"/>
      <c r="K98" s="79"/>
      <c r="L98" s="79"/>
      <c r="M98" s="1"/>
      <c r="N98" s="1"/>
    </row>
    <row r="99" spans="1:14" ht="15.6" x14ac:dyDescent="0.3">
      <c r="A99" s="3"/>
      <c r="B99" s="3"/>
      <c r="C99" s="3">
        <f t="shared" si="2"/>
        <v>-5160000</v>
      </c>
      <c r="D99" s="7"/>
      <c r="E99" s="8"/>
      <c r="F99" s="7"/>
      <c r="I99" s="1"/>
      <c r="J99" s="2"/>
      <c r="K99" s="79"/>
      <c r="L99" s="79"/>
      <c r="M99" s="1"/>
      <c r="N99" s="1"/>
    </row>
    <row r="100" spans="1:14" ht="15.6" x14ac:dyDescent="0.3">
      <c r="A100" s="3"/>
      <c r="B100" s="3"/>
      <c r="C100" s="3">
        <f t="shared" si="2"/>
        <v>-5160000</v>
      </c>
      <c r="D100" s="7"/>
      <c r="E100" s="8"/>
      <c r="F100" s="7"/>
      <c r="I100" s="1"/>
      <c r="J100" s="2"/>
      <c r="K100" s="79"/>
      <c r="L100" s="79"/>
      <c r="M100" s="1"/>
      <c r="N100" s="1"/>
    </row>
    <row r="101" spans="1:14" ht="15.6" x14ac:dyDescent="0.3">
      <c r="A101" s="3"/>
      <c r="B101" s="3"/>
      <c r="C101" s="3">
        <f t="shared" si="2"/>
        <v>-5160000</v>
      </c>
      <c r="D101" s="7"/>
      <c r="E101" s="8"/>
      <c r="F101" s="7"/>
      <c r="I101" s="1"/>
      <c r="J101" s="2"/>
      <c r="K101" s="79"/>
      <c r="L101" s="79"/>
      <c r="M101" s="1"/>
      <c r="N101" s="1"/>
    </row>
    <row r="102" spans="1:14" ht="15.6" x14ac:dyDescent="0.3">
      <c r="A102" s="3"/>
      <c r="B102" s="3"/>
      <c r="C102" s="3">
        <f t="shared" si="2"/>
        <v>-5160000</v>
      </c>
      <c r="D102" s="7"/>
      <c r="E102" s="8"/>
      <c r="F102" s="7"/>
      <c r="I102" s="1"/>
      <c r="J102" s="2"/>
      <c r="K102" s="79"/>
      <c r="L102" s="79"/>
      <c r="M102" s="1"/>
      <c r="N102" s="1"/>
    </row>
    <row r="103" spans="1:14" ht="15.6" x14ac:dyDescent="0.3">
      <c r="A103" s="3"/>
      <c r="B103" s="3"/>
      <c r="C103" s="3">
        <f t="shared" si="2"/>
        <v>-5160000</v>
      </c>
      <c r="D103" s="7"/>
      <c r="E103" s="8"/>
      <c r="F103" s="7"/>
      <c r="I103" s="1"/>
      <c r="J103" s="2"/>
      <c r="K103" s="79"/>
      <c r="L103" s="79"/>
      <c r="M103" s="1"/>
      <c r="N103" s="1"/>
    </row>
    <row r="104" spans="1:14" ht="15.6" x14ac:dyDescent="0.3">
      <c r="A104" s="3"/>
      <c r="B104" s="3"/>
      <c r="C104" s="3">
        <f t="shared" si="2"/>
        <v>-5160000</v>
      </c>
      <c r="D104" s="7"/>
      <c r="E104" s="8"/>
      <c r="F104" s="7"/>
      <c r="I104" s="1"/>
      <c r="J104" s="2"/>
      <c r="K104" s="79"/>
      <c r="L104" s="79"/>
      <c r="M104" s="1"/>
      <c r="N104" s="1"/>
    </row>
    <row r="105" spans="1:14" ht="15.6" x14ac:dyDescent="0.3">
      <c r="A105" s="3"/>
      <c r="B105" s="3"/>
      <c r="C105" s="3">
        <f t="shared" si="2"/>
        <v>-5160000</v>
      </c>
      <c r="D105" s="7"/>
      <c r="E105" s="8"/>
      <c r="F105" s="7"/>
      <c r="I105" s="1"/>
      <c r="J105" s="2"/>
      <c r="K105" s="79"/>
      <c r="L105" s="79"/>
      <c r="M105" s="1"/>
      <c r="N105" s="1"/>
    </row>
    <row r="106" spans="1:14" ht="15.6" x14ac:dyDescent="0.3">
      <c r="A106" s="3"/>
      <c r="B106" s="3"/>
      <c r="C106" s="3">
        <f t="shared" si="2"/>
        <v>-5160000</v>
      </c>
      <c r="D106" s="7"/>
      <c r="E106" s="8"/>
      <c r="F106" s="7"/>
      <c r="I106" s="1"/>
      <c r="J106" s="2"/>
      <c r="K106" s="79"/>
      <c r="L106" s="79"/>
      <c r="M106" s="1"/>
      <c r="N106" s="1"/>
    </row>
    <row r="107" spans="1:14" ht="15.6" x14ac:dyDescent="0.3">
      <c r="A107" s="3"/>
      <c r="B107" s="3"/>
      <c r="C107" s="3">
        <f t="shared" si="2"/>
        <v>-5160000</v>
      </c>
      <c r="D107" s="7"/>
      <c r="E107" s="8"/>
      <c r="F107" s="7"/>
      <c r="I107" s="1"/>
      <c r="J107" s="2"/>
      <c r="K107" s="79"/>
      <c r="L107" s="79"/>
      <c r="M107" s="1"/>
      <c r="N107" s="1"/>
    </row>
    <row r="108" spans="1:14" ht="15.6" x14ac:dyDescent="0.3">
      <c r="A108" s="3"/>
      <c r="B108" s="3"/>
      <c r="C108" s="3">
        <f t="shared" si="2"/>
        <v>-5160000</v>
      </c>
      <c r="D108" s="7"/>
      <c r="E108" s="8"/>
      <c r="F108" s="7"/>
      <c r="I108" s="1"/>
      <c r="J108" s="2"/>
      <c r="K108" s="79"/>
      <c r="L108" s="79"/>
      <c r="M108" s="1"/>
      <c r="N108" s="1"/>
    </row>
    <row r="109" spans="1:14" ht="15.6" x14ac:dyDescent="0.3">
      <c r="A109" s="3"/>
      <c r="B109" s="3"/>
      <c r="C109" s="3">
        <f t="shared" si="2"/>
        <v>-5160000</v>
      </c>
      <c r="D109" s="7"/>
      <c r="E109" s="8"/>
      <c r="F109" s="7"/>
      <c r="I109" s="1"/>
      <c r="J109" s="2"/>
      <c r="K109" s="79"/>
      <c r="L109" s="79"/>
      <c r="M109" s="1"/>
      <c r="N109" s="1"/>
    </row>
    <row r="110" spans="1:14" ht="15.6" x14ac:dyDescent="0.3">
      <c r="A110" s="3"/>
      <c r="B110" s="3"/>
      <c r="C110" s="3">
        <f t="shared" si="2"/>
        <v>-5160000</v>
      </c>
      <c r="D110" s="7"/>
      <c r="E110" s="8"/>
      <c r="F110" s="7"/>
      <c r="I110" s="1"/>
      <c r="J110" s="2"/>
      <c r="K110" s="79"/>
      <c r="L110" s="79"/>
      <c r="M110" s="1"/>
      <c r="N110" s="1"/>
    </row>
    <row r="111" spans="1:14" ht="15.6" x14ac:dyDescent="0.3">
      <c r="A111" s="3"/>
      <c r="B111" s="3"/>
      <c r="C111" s="3">
        <f t="shared" si="2"/>
        <v>-5160000</v>
      </c>
      <c r="D111" s="7"/>
      <c r="E111" s="8"/>
      <c r="F111" s="7"/>
      <c r="I111" s="1"/>
      <c r="J111" s="2"/>
      <c r="K111" s="79"/>
      <c r="L111" s="79"/>
      <c r="M111" s="1"/>
      <c r="N111" s="1"/>
    </row>
    <row r="112" spans="1:14" ht="15.6" x14ac:dyDescent="0.3">
      <c r="A112" s="3"/>
      <c r="B112" s="3"/>
      <c r="C112" s="3">
        <f t="shared" si="2"/>
        <v>-5160000</v>
      </c>
      <c r="D112" s="7"/>
      <c r="E112" s="8"/>
      <c r="F112" s="7"/>
      <c r="I112" s="1"/>
      <c r="J112" s="2"/>
      <c r="K112" s="79"/>
      <c r="L112" s="79"/>
      <c r="M112" s="1"/>
      <c r="N112" s="1"/>
    </row>
    <row r="113" spans="1:14" ht="15.6" x14ac:dyDescent="0.3">
      <c r="A113" s="3"/>
      <c r="B113" s="3"/>
      <c r="C113" s="3">
        <f t="shared" si="2"/>
        <v>-5160000</v>
      </c>
      <c r="D113" s="7"/>
      <c r="E113" s="8"/>
      <c r="F113" s="7"/>
      <c r="I113" s="1"/>
      <c r="J113" s="2"/>
      <c r="K113" s="79"/>
      <c r="L113" s="79"/>
      <c r="M113" s="1"/>
      <c r="N113" s="1"/>
    </row>
    <row r="114" spans="1:14" ht="15.6" x14ac:dyDescent="0.3">
      <c r="A114" s="3"/>
      <c r="B114" s="3"/>
      <c r="C114" s="3">
        <f t="shared" si="2"/>
        <v>-5160000</v>
      </c>
      <c r="D114" s="7"/>
      <c r="E114" s="8"/>
      <c r="F114" s="7"/>
      <c r="I114" s="1"/>
      <c r="J114" s="2"/>
      <c r="K114" s="79"/>
      <c r="L114" s="79"/>
      <c r="M114" s="1"/>
      <c r="N114" s="1"/>
    </row>
    <row r="115" spans="1:14" ht="15.6" x14ac:dyDescent="0.3">
      <c r="A115" s="3"/>
      <c r="B115" s="3"/>
      <c r="C115" s="3">
        <f t="shared" si="2"/>
        <v>-5160000</v>
      </c>
      <c r="D115" s="7"/>
      <c r="E115" s="8"/>
      <c r="F115" s="7"/>
      <c r="I115" s="1"/>
      <c r="J115" s="2"/>
      <c r="K115" s="79"/>
      <c r="L115" s="79"/>
      <c r="M115" s="1"/>
      <c r="N115" s="1"/>
    </row>
    <row r="116" spans="1:14" ht="15.6" x14ac:dyDescent="0.3">
      <c r="A116" s="3"/>
      <c r="B116" s="3"/>
      <c r="C116" s="3">
        <f t="shared" si="2"/>
        <v>-5160000</v>
      </c>
      <c r="D116" s="7"/>
      <c r="E116" s="8"/>
      <c r="F116" s="7"/>
      <c r="I116" s="1"/>
      <c r="J116" s="2"/>
      <c r="K116" s="79"/>
      <c r="L116" s="79"/>
      <c r="M116" s="1"/>
      <c r="N116" s="1"/>
    </row>
    <row r="117" spans="1:14" ht="15.6" x14ac:dyDescent="0.3">
      <c r="A117" s="3"/>
      <c r="B117" s="3"/>
      <c r="C117" s="3">
        <f t="shared" si="2"/>
        <v>-5160000</v>
      </c>
      <c r="D117" s="7"/>
      <c r="E117" s="8"/>
      <c r="F117" s="7"/>
      <c r="I117" s="1"/>
      <c r="J117" s="2"/>
      <c r="K117" s="79"/>
      <c r="L117" s="79"/>
      <c r="M117" s="1"/>
      <c r="N117" s="1"/>
    </row>
    <row r="118" spans="1:14" ht="15.6" x14ac:dyDescent="0.3">
      <c r="A118" s="3"/>
      <c r="B118" s="3"/>
      <c r="C118" s="3">
        <f t="shared" si="2"/>
        <v>-5160000</v>
      </c>
      <c r="D118" s="7"/>
      <c r="E118" s="8"/>
      <c r="F118" s="7"/>
      <c r="I118" s="1"/>
      <c r="J118" s="2"/>
      <c r="K118" s="79"/>
      <c r="L118" s="79"/>
      <c r="M118" s="1"/>
      <c r="N118" s="1"/>
    </row>
    <row r="119" spans="1:14" ht="15.6" x14ac:dyDescent="0.3">
      <c r="A119" s="3"/>
      <c r="B119" s="3"/>
      <c r="C119" s="3">
        <f t="shared" si="2"/>
        <v>-5160000</v>
      </c>
      <c r="D119" s="7"/>
      <c r="E119" s="8"/>
      <c r="F119" s="7"/>
      <c r="I119" s="1"/>
      <c r="J119" s="2"/>
      <c r="K119" s="79"/>
      <c r="L119" s="79"/>
      <c r="M119" s="1"/>
      <c r="N119" s="1"/>
    </row>
    <row r="120" spans="1:14" ht="15.6" x14ac:dyDescent="0.3">
      <c r="A120" s="3"/>
      <c r="B120" s="3"/>
      <c r="C120" s="3">
        <f t="shared" si="2"/>
        <v>-5160000</v>
      </c>
      <c r="D120" s="7"/>
      <c r="E120" s="8"/>
      <c r="F120" s="7"/>
      <c r="I120" s="1"/>
      <c r="J120" s="2"/>
      <c r="K120" s="79"/>
      <c r="L120" s="79"/>
      <c r="M120" s="1"/>
      <c r="N120" s="1"/>
    </row>
    <row r="121" spans="1:14" ht="15.6" x14ac:dyDescent="0.3">
      <c r="A121" s="3"/>
      <c r="B121" s="3"/>
      <c r="C121" s="3">
        <f t="shared" si="2"/>
        <v>-5160000</v>
      </c>
      <c r="D121" s="7"/>
      <c r="E121" s="8"/>
      <c r="F121" s="7"/>
      <c r="I121" s="1"/>
      <c r="J121" s="2"/>
      <c r="K121" s="79"/>
      <c r="L121" s="79"/>
      <c r="M121" s="1"/>
      <c r="N121" s="1"/>
    </row>
    <row r="122" spans="1:14" ht="15.6" x14ac:dyDescent="0.3">
      <c r="A122" s="3"/>
      <c r="B122" s="3"/>
      <c r="C122" s="3">
        <f t="shared" si="2"/>
        <v>-5160000</v>
      </c>
      <c r="D122" s="7"/>
      <c r="E122" s="8"/>
      <c r="F122" s="7"/>
      <c r="I122" s="1"/>
      <c r="J122" s="2"/>
      <c r="K122" s="79"/>
      <c r="L122" s="79"/>
      <c r="M122" s="1"/>
      <c r="N122" s="1"/>
    </row>
    <row r="123" spans="1:14" ht="15.6" x14ac:dyDescent="0.3">
      <c r="A123" s="3"/>
      <c r="B123" s="3"/>
      <c r="C123" s="3">
        <f t="shared" si="2"/>
        <v>-5160000</v>
      </c>
      <c r="D123" s="7"/>
      <c r="E123" s="8"/>
      <c r="F123" s="7"/>
      <c r="I123" s="1"/>
      <c r="J123" s="2"/>
      <c r="K123" s="79"/>
      <c r="L123" s="79"/>
      <c r="M123" s="1"/>
      <c r="N123" s="1"/>
    </row>
    <row r="124" spans="1:14" ht="15.6" x14ac:dyDescent="0.3">
      <c r="A124" s="3"/>
      <c r="B124" s="3"/>
      <c r="C124" s="3">
        <f t="shared" si="2"/>
        <v>-5160000</v>
      </c>
      <c r="D124" s="7"/>
      <c r="E124" s="8"/>
      <c r="F124" s="7"/>
    </row>
    <row r="125" spans="1:14" ht="15.6" x14ac:dyDescent="0.3">
      <c r="A125" s="3"/>
      <c r="B125" s="3"/>
      <c r="C125" s="3">
        <f t="shared" si="2"/>
        <v>-5160000</v>
      </c>
      <c r="D125" s="7"/>
      <c r="E125" s="8"/>
      <c r="F125" s="7"/>
    </row>
    <row r="126" spans="1:14" ht="15.6" x14ac:dyDescent="0.3">
      <c r="A126" s="3"/>
      <c r="B126" s="3"/>
      <c r="C126" s="3">
        <f t="shared" si="2"/>
        <v>-5160000</v>
      </c>
      <c r="D126" s="7"/>
      <c r="E126" s="8"/>
      <c r="F126" s="7"/>
    </row>
    <row r="127" spans="1:14" ht="15.6" x14ac:dyDescent="0.3">
      <c r="A127" s="3"/>
      <c r="B127" s="3"/>
      <c r="C127" s="3">
        <f t="shared" si="2"/>
        <v>-5160000</v>
      </c>
      <c r="D127" s="7"/>
      <c r="E127" s="8"/>
      <c r="F127" s="7"/>
    </row>
    <row r="128" spans="1:14" ht="15.6" x14ac:dyDescent="0.3">
      <c r="A128" s="3"/>
      <c r="B128" s="3"/>
      <c r="C128" s="3">
        <f t="shared" si="2"/>
        <v>-5160000</v>
      </c>
      <c r="D128" s="7"/>
      <c r="E128" s="8"/>
      <c r="F128" s="7"/>
    </row>
    <row r="129" spans="1:6" ht="15.6" x14ac:dyDescent="0.3">
      <c r="A129" s="3"/>
      <c r="B129" s="3"/>
      <c r="C129" s="3">
        <f t="shared" si="2"/>
        <v>-5160000</v>
      </c>
      <c r="D129" s="7"/>
      <c r="E129" s="8"/>
      <c r="F129" s="7"/>
    </row>
    <row r="130" spans="1:6" ht="15.6" x14ac:dyDescent="0.3">
      <c r="A130" s="3"/>
      <c r="B130" s="3"/>
      <c r="C130" s="3">
        <f t="shared" si="2"/>
        <v>-5160000</v>
      </c>
      <c r="D130" s="7"/>
      <c r="E130" s="8"/>
      <c r="F130" s="7"/>
    </row>
    <row r="131" spans="1:6" ht="15.6" x14ac:dyDescent="0.3">
      <c r="A131" s="3"/>
      <c r="B131" s="3"/>
      <c r="C131" s="3">
        <f t="shared" si="2"/>
        <v>-5160000</v>
      </c>
      <c r="D131" s="7"/>
      <c r="E131" s="8"/>
      <c r="F131" s="7"/>
    </row>
    <row r="132" spans="1:6" ht="15.6" x14ac:dyDescent="0.3">
      <c r="A132" s="3"/>
      <c r="B132" s="3"/>
      <c r="C132" s="3">
        <f t="shared" si="2"/>
        <v>-5160000</v>
      </c>
      <c r="D132" s="7"/>
      <c r="E132" s="8"/>
      <c r="F132" s="7"/>
    </row>
    <row r="133" spans="1:6" ht="15.6" x14ac:dyDescent="0.3">
      <c r="A133" s="3"/>
      <c r="B133" s="3"/>
      <c r="C133" s="3">
        <f t="shared" si="2"/>
        <v>-5160000</v>
      </c>
      <c r="D133" s="7"/>
      <c r="E133" s="8"/>
      <c r="F133" s="7"/>
    </row>
    <row r="134" spans="1:6" ht="15.6" x14ac:dyDescent="0.3">
      <c r="A134" s="3"/>
      <c r="B134" s="3"/>
      <c r="C134" s="3">
        <f t="shared" si="2"/>
        <v>-5160000</v>
      </c>
      <c r="D134" s="7"/>
      <c r="E134" s="8"/>
      <c r="F134" s="7"/>
    </row>
    <row r="135" spans="1:6" ht="15.6" x14ac:dyDescent="0.3">
      <c r="A135" s="3"/>
      <c r="B135" s="3"/>
      <c r="C135" s="3">
        <f t="shared" ref="C135:C142" si="3">IF(A135&gt;0,C134+A135-B135,C134-B135)</f>
        <v>-5160000</v>
      </c>
      <c r="D135" s="7"/>
      <c r="E135" s="8"/>
      <c r="F135" s="7"/>
    </row>
    <row r="136" spans="1:6" ht="15.6" x14ac:dyDescent="0.3">
      <c r="A136" s="3"/>
      <c r="B136" s="3"/>
      <c r="C136" s="3">
        <f t="shared" si="3"/>
        <v>-5160000</v>
      </c>
      <c r="D136" s="7"/>
      <c r="E136" s="8"/>
      <c r="F136" s="7"/>
    </row>
    <row r="137" spans="1:6" ht="15.6" x14ac:dyDescent="0.3">
      <c r="A137" s="3"/>
      <c r="B137" s="3"/>
      <c r="C137" s="3">
        <f t="shared" si="3"/>
        <v>-5160000</v>
      </c>
      <c r="D137" s="7"/>
      <c r="E137" s="8"/>
      <c r="F137" s="7"/>
    </row>
    <row r="138" spans="1:6" ht="15.6" x14ac:dyDescent="0.3">
      <c r="A138" s="3"/>
      <c r="B138" s="3"/>
      <c r="C138" s="3">
        <f t="shared" si="3"/>
        <v>-5160000</v>
      </c>
      <c r="D138" s="7"/>
      <c r="E138" s="8"/>
      <c r="F138" s="7"/>
    </row>
    <row r="139" spans="1:6" ht="15.6" x14ac:dyDescent="0.3">
      <c r="A139" s="3"/>
      <c r="B139" s="3"/>
      <c r="C139" s="3">
        <f t="shared" si="3"/>
        <v>-5160000</v>
      </c>
      <c r="D139" s="7"/>
      <c r="E139" s="8"/>
      <c r="F139" s="7"/>
    </row>
    <row r="140" spans="1:6" ht="15.6" x14ac:dyDescent="0.3">
      <c r="A140" s="3"/>
      <c r="B140" s="3"/>
      <c r="C140" s="3">
        <f t="shared" si="3"/>
        <v>-5160000</v>
      </c>
      <c r="D140" s="7"/>
      <c r="E140" s="8"/>
      <c r="F140" s="7"/>
    </row>
    <row r="141" spans="1:6" ht="15.6" x14ac:dyDescent="0.3">
      <c r="A141" s="3"/>
      <c r="B141" s="3"/>
      <c r="C141" s="3">
        <f t="shared" si="3"/>
        <v>-5160000</v>
      </c>
      <c r="D141" s="7"/>
      <c r="E141" s="8"/>
      <c r="F141" s="7"/>
    </row>
    <row r="142" spans="1:6" ht="15.6" x14ac:dyDescent="0.3">
      <c r="A142" s="3"/>
      <c r="B142" s="3"/>
      <c r="C142" s="3">
        <f t="shared" si="3"/>
        <v>-5160000</v>
      </c>
      <c r="D142" s="7"/>
      <c r="E142" s="8"/>
      <c r="F142" s="7"/>
    </row>
    <row r="143" spans="1:6" ht="15.6" x14ac:dyDescent="0.3">
      <c r="A143" s="7"/>
      <c r="B143" s="7"/>
      <c r="C143" s="7"/>
      <c r="D143" s="7"/>
      <c r="E143" s="8"/>
      <c r="F143" s="7"/>
    </row>
    <row r="144" spans="1:6" ht="15.6" x14ac:dyDescent="0.3">
      <c r="A144" s="7"/>
      <c r="B144" s="7"/>
      <c r="C144" s="7"/>
      <c r="D144" s="7"/>
      <c r="E144" s="8"/>
      <c r="F144" s="7"/>
    </row>
    <row r="145" spans="1:6" ht="15.6" x14ac:dyDescent="0.3">
      <c r="A145" s="7"/>
      <c r="B145" s="7"/>
      <c r="C145" s="7">
        <f>IF(A145&gt;0,C142+A145-B145,C142-B145)</f>
        <v>-5160000</v>
      </c>
      <c r="D145" s="7"/>
      <c r="E145" s="8"/>
      <c r="F145" s="7"/>
    </row>
  </sheetData>
  <mergeCells count="4">
    <mergeCell ref="K2:L2"/>
    <mergeCell ref="L3:M3"/>
    <mergeCell ref="L95:M95"/>
    <mergeCell ref="L6:M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2"/>
  <sheetViews>
    <sheetView rightToLeft="1" workbookViewId="0">
      <pane ySplit="5" topLeftCell="A6" activePane="bottomLeft" state="frozen"/>
      <selection pane="bottomLeft" activeCell="A18" sqref="A18"/>
    </sheetView>
  </sheetViews>
  <sheetFormatPr defaultColWidth="9" defaultRowHeight="14.4" x14ac:dyDescent="0.3"/>
  <cols>
    <col min="1" max="1" width="11.33203125" customWidth="1"/>
    <col min="2" max="2" width="13.6640625" customWidth="1"/>
    <col min="3" max="3" width="13.5546875" customWidth="1"/>
    <col min="4" max="4" width="27.33203125" customWidth="1"/>
    <col min="5" max="5" width="20.44140625" bestFit="1" customWidth="1"/>
    <col min="8" max="8" width="6.109375" customWidth="1"/>
    <col min="9" max="9" width="15.33203125" customWidth="1"/>
    <col min="10" max="10" width="17.44140625" bestFit="1" customWidth="1"/>
    <col min="11" max="11" width="18.6640625" customWidth="1"/>
    <col min="12" max="12" width="12.5546875" customWidth="1"/>
    <col min="13" max="13" width="20" bestFit="1" customWidth="1"/>
  </cols>
  <sheetData>
    <row r="1" spans="1:13" ht="15.6" x14ac:dyDescent="0.3">
      <c r="A1" s="1"/>
      <c r="B1" s="1"/>
      <c r="C1" s="1"/>
      <c r="D1" s="1"/>
      <c r="E1" s="2"/>
      <c r="F1" s="1"/>
    </row>
    <row r="2" spans="1:13" ht="15.6" x14ac:dyDescent="0.3">
      <c r="A2" s="3">
        <f>SUBTOTAL(9,A5:A152)</f>
        <v>5625000</v>
      </c>
      <c r="B2" s="3">
        <f>SUBTOTAL(9,B5:B152)</f>
        <v>5625000</v>
      </c>
      <c r="C2" s="3">
        <f>A2-B2</f>
        <v>0</v>
      </c>
      <c r="D2" s="1"/>
      <c r="E2" s="2"/>
      <c r="F2" s="1"/>
      <c r="H2" s="1"/>
      <c r="I2" s="1"/>
      <c r="J2" s="277"/>
      <c r="K2" s="277"/>
      <c r="L2" s="45"/>
      <c r="M2" s="1"/>
    </row>
    <row r="3" spans="1:13" ht="29.25" customHeight="1" x14ac:dyDescent="0.3">
      <c r="A3" s="6" t="s">
        <v>124</v>
      </c>
      <c r="B3" s="6"/>
      <c r="C3" s="6"/>
      <c r="D3" s="5" t="s">
        <v>62</v>
      </c>
      <c r="E3" s="6"/>
      <c r="F3" s="6"/>
      <c r="H3" s="206"/>
      <c r="I3" s="1"/>
      <c r="J3" s="206"/>
      <c r="K3" s="300"/>
      <c r="L3" s="300"/>
      <c r="M3" s="206"/>
    </row>
    <row r="4" spans="1:13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  <c r="H4" s="1"/>
      <c r="I4" s="1"/>
      <c r="J4" s="79"/>
      <c r="K4" s="79"/>
      <c r="L4" s="1"/>
      <c r="M4" s="1"/>
    </row>
    <row r="5" spans="1:13" ht="0.75" customHeight="1" x14ac:dyDescent="0.3">
      <c r="A5" s="7"/>
      <c r="B5" s="7"/>
      <c r="C5" s="7">
        <v>0</v>
      </c>
      <c r="D5" s="7"/>
      <c r="E5" s="8"/>
      <c r="F5" s="7"/>
      <c r="H5" s="1"/>
      <c r="I5" s="1"/>
      <c r="J5" s="79"/>
      <c r="K5" s="79"/>
      <c r="L5" s="1"/>
      <c r="M5" s="1"/>
    </row>
    <row r="6" spans="1:13" ht="15.6" x14ac:dyDescent="0.3">
      <c r="A6" s="80"/>
      <c r="B6" s="80">
        <v>5625000</v>
      </c>
      <c r="C6" s="4">
        <f>IF(A6&gt;0,C5+A6-B6,C5-B6)</f>
        <v>-5625000</v>
      </c>
      <c r="D6" s="81" t="s">
        <v>125</v>
      </c>
      <c r="E6" s="82" t="s">
        <v>126</v>
      </c>
      <c r="F6" s="58"/>
      <c r="H6" s="1"/>
      <c r="I6" s="2"/>
      <c r="J6" s="79"/>
      <c r="K6" s="79"/>
      <c r="L6" s="1"/>
      <c r="M6" s="1"/>
    </row>
    <row r="7" spans="1:13" ht="15.6" x14ac:dyDescent="0.3">
      <c r="A7" s="36">
        <v>25000</v>
      </c>
      <c r="B7" s="83"/>
      <c r="C7" s="3">
        <f t="shared" ref="C7:C70" si="0">IF(A7&gt;0,C6+A7-B7,C6-B7)</f>
        <v>-5600000</v>
      </c>
      <c r="D7" s="75" t="s">
        <v>127</v>
      </c>
      <c r="E7" s="35"/>
      <c r="F7" s="58"/>
      <c r="H7" s="6"/>
      <c r="I7" s="5" t="s">
        <v>37</v>
      </c>
      <c r="J7" s="6" t="s">
        <v>527</v>
      </c>
      <c r="K7" s="272" t="s">
        <v>132</v>
      </c>
      <c r="L7" s="272"/>
      <c r="M7" s="6" t="s">
        <v>133</v>
      </c>
    </row>
    <row r="8" spans="1:13" ht="15.6" x14ac:dyDescent="0.3">
      <c r="A8" s="36">
        <v>500000</v>
      </c>
      <c r="B8" s="83"/>
      <c r="C8" s="3">
        <f t="shared" si="0"/>
        <v>-5100000</v>
      </c>
      <c r="D8" s="75" t="s">
        <v>128</v>
      </c>
      <c r="E8" s="35">
        <v>45969.479895833334</v>
      </c>
      <c r="F8" s="58"/>
      <c r="H8" s="7" t="s">
        <v>40</v>
      </c>
      <c r="I8" s="7" t="s">
        <v>6</v>
      </c>
      <c r="J8" s="41" t="s">
        <v>41</v>
      </c>
      <c r="K8" s="41" t="s">
        <v>42</v>
      </c>
      <c r="L8" s="7" t="s">
        <v>43</v>
      </c>
      <c r="M8" s="7" t="s">
        <v>7</v>
      </c>
    </row>
    <row r="9" spans="1:13" ht="15.6" x14ac:dyDescent="0.3">
      <c r="A9" s="36">
        <v>1000000</v>
      </c>
      <c r="B9" s="83"/>
      <c r="C9" s="3">
        <f t="shared" si="0"/>
        <v>-4100000</v>
      </c>
      <c r="D9" s="75" t="s">
        <v>129</v>
      </c>
      <c r="E9" s="35">
        <v>45987.7651273148</v>
      </c>
      <c r="F9" s="58"/>
      <c r="H9" s="7"/>
      <c r="I9" s="7"/>
      <c r="J9" s="41">
        <v>5625000</v>
      </c>
      <c r="K9" s="41"/>
      <c r="L9" s="7">
        <f>J9-K9</f>
        <v>5625000</v>
      </c>
      <c r="M9" s="7" t="s">
        <v>44</v>
      </c>
    </row>
    <row r="10" spans="1:13" ht="15.6" x14ac:dyDescent="0.3">
      <c r="A10" s="36">
        <v>150000</v>
      </c>
      <c r="B10" s="84"/>
      <c r="C10" s="3">
        <f t="shared" si="0"/>
        <v>-3950000</v>
      </c>
      <c r="D10" s="75" t="s">
        <v>28</v>
      </c>
      <c r="E10" s="35">
        <v>46019.4798991551</v>
      </c>
      <c r="F10" s="58"/>
      <c r="H10" s="7"/>
      <c r="I10" s="8"/>
      <c r="J10" s="41"/>
      <c r="K10" s="41"/>
      <c r="L10" s="7">
        <f>L9-K10</f>
        <v>5625000</v>
      </c>
      <c r="M10" s="7"/>
    </row>
    <row r="11" spans="1:13" ht="15.6" x14ac:dyDescent="0.3">
      <c r="A11" s="85">
        <v>900000</v>
      </c>
      <c r="B11" s="86"/>
      <c r="C11" s="3">
        <f t="shared" si="0"/>
        <v>-3050000</v>
      </c>
      <c r="D11" s="69" t="s">
        <v>130</v>
      </c>
      <c r="E11" s="35">
        <v>45678.479895833334</v>
      </c>
      <c r="F11" s="58"/>
      <c r="H11" s="7">
        <v>1</v>
      </c>
      <c r="I11" s="46" t="s">
        <v>126</v>
      </c>
      <c r="J11" s="47"/>
      <c r="K11" s="47">
        <v>25000</v>
      </c>
      <c r="L11" s="48">
        <f>L10-K11</f>
        <v>5600000</v>
      </c>
      <c r="M11" s="48" t="s">
        <v>134</v>
      </c>
    </row>
    <row r="12" spans="1:13" ht="15.6" x14ac:dyDescent="0.3">
      <c r="A12" s="85">
        <v>550000</v>
      </c>
      <c r="B12" s="86"/>
      <c r="C12" s="3">
        <f t="shared" si="0"/>
        <v>-2500000</v>
      </c>
      <c r="D12" s="69" t="s">
        <v>131</v>
      </c>
      <c r="E12" s="35">
        <v>45678.479895833334</v>
      </c>
      <c r="F12" s="58"/>
      <c r="H12" s="7">
        <v>2</v>
      </c>
      <c r="I12" s="46">
        <v>45788</v>
      </c>
      <c r="J12" s="47"/>
      <c r="K12" s="47">
        <v>500000</v>
      </c>
      <c r="L12" s="48">
        <f>L11-K12</f>
        <v>5100000</v>
      </c>
      <c r="M12" s="48" t="s">
        <v>135</v>
      </c>
    </row>
    <row r="13" spans="1:13" ht="15.6" x14ac:dyDescent="0.3">
      <c r="A13" s="85">
        <v>500000</v>
      </c>
      <c r="B13" s="86"/>
      <c r="C13" s="3">
        <f t="shared" si="0"/>
        <v>-2000000</v>
      </c>
      <c r="D13" s="69" t="s">
        <v>28</v>
      </c>
      <c r="E13" s="35">
        <v>45682.479895833334</v>
      </c>
      <c r="F13" s="58"/>
      <c r="H13" s="7">
        <v>3</v>
      </c>
      <c r="I13" s="46">
        <v>45789</v>
      </c>
      <c r="J13" s="47"/>
      <c r="K13" s="47">
        <v>2600000</v>
      </c>
      <c r="L13" s="48">
        <f t="shared" ref="L13:L30" si="1">L12-K13</f>
        <v>2500000</v>
      </c>
      <c r="M13" s="48" t="s">
        <v>136</v>
      </c>
    </row>
    <row r="14" spans="1:13" ht="15.6" x14ac:dyDescent="0.3">
      <c r="A14" s="85">
        <v>500000</v>
      </c>
      <c r="B14" s="86"/>
      <c r="C14" s="3">
        <f t="shared" si="0"/>
        <v>-1500000</v>
      </c>
      <c r="D14" s="69" t="s">
        <v>28</v>
      </c>
      <c r="E14" s="35">
        <v>45714.479895833334</v>
      </c>
      <c r="F14" s="58"/>
      <c r="H14" s="7">
        <v>4</v>
      </c>
      <c r="I14" s="46">
        <v>46143</v>
      </c>
      <c r="J14" s="47"/>
      <c r="K14" s="47">
        <v>500000</v>
      </c>
      <c r="L14" s="48">
        <f t="shared" si="1"/>
        <v>2000000</v>
      </c>
      <c r="M14" s="48" t="s">
        <v>136</v>
      </c>
    </row>
    <row r="15" spans="1:13" ht="15.6" x14ac:dyDescent="0.3">
      <c r="A15" s="218">
        <v>500000</v>
      </c>
      <c r="B15" s="86"/>
      <c r="C15" s="3">
        <f t="shared" si="0"/>
        <v>-1000000</v>
      </c>
      <c r="D15" s="69" t="s">
        <v>28</v>
      </c>
      <c r="E15" s="35">
        <v>45788.479895833334</v>
      </c>
      <c r="F15" s="58"/>
      <c r="H15" s="7">
        <v>5</v>
      </c>
      <c r="I15" s="46">
        <v>46144</v>
      </c>
      <c r="J15" s="47"/>
      <c r="K15" s="47">
        <v>500000</v>
      </c>
      <c r="L15" s="48">
        <f t="shared" si="1"/>
        <v>1500000</v>
      </c>
      <c r="M15" s="48" t="s">
        <v>136</v>
      </c>
    </row>
    <row r="16" spans="1:13" ht="15.6" x14ac:dyDescent="0.3">
      <c r="A16" s="218">
        <v>500000</v>
      </c>
      <c r="B16" s="88"/>
      <c r="C16" s="3">
        <f t="shared" si="0"/>
        <v>-500000</v>
      </c>
      <c r="D16" s="69" t="s">
        <v>28</v>
      </c>
      <c r="E16" s="35">
        <v>45798.479895833334</v>
      </c>
      <c r="F16" s="58"/>
      <c r="H16" s="7">
        <v>6</v>
      </c>
      <c r="I16" s="46">
        <v>46145</v>
      </c>
      <c r="J16" s="47"/>
      <c r="K16" s="47">
        <v>500000</v>
      </c>
      <c r="L16" s="48">
        <f t="shared" si="1"/>
        <v>1000000</v>
      </c>
      <c r="M16" s="48" t="s">
        <v>136</v>
      </c>
    </row>
    <row r="17" spans="1:13" ht="15.6" x14ac:dyDescent="0.3">
      <c r="A17" s="218">
        <v>500000</v>
      </c>
      <c r="B17" s="88"/>
      <c r="C17" s="3">
        <f t="shared" si="0"/>
        <v>0</v>
      </c>
      <c r="D17" s="89"/>
      <c r="E17" s="73">
        <v>46250</v>
      </c>
      <c r="F17" s="58"/>
      <c r="H17" s="7">
        <v>7</v>
      </c>
      <c r="I17" s="46">
        <v>46146</v>
      </c>
      <c r="J17" s="47"/>
      <c r="K17" s="47">
        <v>500000</v>
      </c>
      <c r="L17" s="48">
        <f t="shared" si="1"/>
        <v>500000</v>
      </c>
      <c r="M17" s="48" t="s">
        <v>136</v>
      </c>
    </row>
    <row r="18" spans="1:13" ht="15.6" x14ac:dyDescent="0.3">
      <c r="A18" s="218"/>
      <c r="B18" s="88"/>
      <c r="C18" s="3">
        <f t="shared" si="0"/>
        <v>0</v>
      </c>
      <c r="D18" s="89"/>
      <c r="E18" s="73"/>
      <c r="F18" s="58"/>
      <c r="H18" s="7">
        <v>8</v>
      </c>
      <c r="I18" s="8">
        <v>46147</v>
      </c>
      <c r="J18" s="41"/>
      <c r="K18" s="41">
        <v>500000</v>
      </c>
      <c r="L18" s="7">
        <f t="shared" si="1"/>
        <v>0</v>
      </c>
      <c r="M18" s="7"/>
    </row>
    <row r="19" spans="1:13" ht="15.6" x14ac:dyDescent="0.3">
      <c r="A19" s="3"/>
      <c r="B19" s="3"/>
      <c r="C19" s="3">
        <f t="shared" si="0"/>
        <v>0</v>
      </c>
      <c r="D19" s="7"/>
      <c r="E19" s="90"/>
      <c r="F19" s="58"/>
      <c r="H19" s="7"/>
      <c r="I19" s="8"/>
      <c r="J19" s="41"/>
      <c r="K19" s="41"/>
      <c r="L19" s="7">
        <f t="shared" si="1"/>
        <v>0</v>
      </c>
      <c r="M19" s="7"/>
    </row>
    <row r="20" spans="1:13" ht="15.6" x14ac:dyDescent="0.3">
      <c r="A20" s="3"/>
      <c r="B20" s="3"/>
      <c r="C20" s="3">
        <f t="shared" si="0"/>
        <v>0</v>
      </c>
      <c r="D20" s="91"/>
      <c r="E20" s="8"/>
      <c r="F20" s="58"/>
      <c r="H20" s="7"/>
      <c r="I20" s="8"/>
      <c r="J20" s="41"/>
      <c r="K20" s="41"/>
      <c r="L20" s="7">
        <f t="shared" si="1"/>
        <v>0</v>
      </c>
      <c r="M20" s="7"/>
    </row>
    <row r="21" spans="1:13" ht="15.6" x14ac:dyDescent="0.3">
      <c r="A21" s="3"/>
      <c r="B21" s="3"/>
      <c r="C21" s="3">
        <f t="shared" si="0"/>
        <v>0</v>
      </c>
      <c r="D21" s="8"/>
      <c r="E21" s="8"/>
      <c r="F21" s="58"/>
      <c r="H21" s="7"/>
      <c r="I21" s="8"/>
      <c r="J21" s="41"/>
      <c r="K21" s="41"/>
      <c r="L21" s="7">
        <f t="shared" si="1"/>
        <v>0</v>
      </c>
      <c r="M21" s="7"/>
    </row>
    <row r="22" spans="1:13" ht="15.6" x14ac:dyDescent="0.3">
      <c r="A22" s="3"/>
      <c r="B22" s="3"/>
      <c r="C22" s="3">
        <f t="shared" si="0"/>
        <v>0</v>
      </c>
      <c r="D22" s="8"/>
      <c r="E22" s="8"/>
      <c r="F22" s="58"/>
      <c r="H22" s="7"/>
      <c r="I22" s="8"/>
      <c r="J22" s="41"/>
      <c r="K22" s="41"/>
      <c r="L22" s="7">
        <f t="shared" si="1"/>
        <v>0</v>
      </c>
      <c r="M22" s="7"/>
    </row>
    <row r="23" spans="1:13" ht="15.6" x14ac:dyDescent="0.3">
      <c r="A23" s="3"/>
      <c r="B23" s="3"/>
      <c r="C23" s="3">
        <f t="shared" si="0"/>
        <v>0</v>
      </c>
      <c r="D23" s="8"/>
      <c r="E23" s="8"/>
      <c r="F23" s="58"/>
      <c r="H23" s="7"/>
      <c r="I23" s="8"/>
      <c r="J23" s="41"/>
      <c r="K23" s="41"/>
      <c r="L23" s="7">
        <f t="shared" si="1"/>
        <v>0</v>
      </c>
      <c r="M23" s="7"/>
    </row>
    <row r="24" spans="1:13" ht="15.6" x14ac:dyDescent="0.3">
      <c r="A24" s="3"/>
      <c r="B24" s="3"/>
      <c r="C24" s="3">
        <f t="shared" si="0"/>
        <v>0</v>
      </c>
      <c r="D24" s="8"/>
      <c r="E24" s="8"/>
      <c r="F24" s="58"/>
      <c r="H24" s="7"/>
      <c r="I24" s="8"/>
      <c r="J24" s="41"/>
      <c r="K24" s="41"/>
      <c r="L24" s="7">
        <f t="shared" si="1"/>
        <v>0</v>
      </c>
      <c r="M24" s="7"/>
    </row>
    <row r="25" spans="1:13" ht="15.6" x14ac:dyDescent="0.3">
      <c r="A25" s="3"/>
      <c r="B25" s="3"/>
      <c r="C25" s="3">
        <f t="shared" si="0"/>
        <v>0</v>
      </c>
      <c r="D25" s="8"/>
      <c r="E25" s="8"/>
      <c r="F25" s="58"/>
      <c r="H25" s="7"/>
      <c r="I25" s="8"/>
      <c r="J25" s="41"/>
      <c r="K25" s="41"/>
      <c r="L25" s="7">
        <f t="shared" si="1"/>
        <v>0</v>
      </c>
      <c r="M25" s="7"/>
    </row>
    <row r="26" spans="1:13" ht="15.6" x14ac:dyDescent="0.3">
      <c r="A26" s="3"/>
      <c r="B26" s="3"/>
      <c r="C26" s="3">
        <f t="shared" si="0"/>
        <v>0</v>
      </c>
      <c r="D26" s="8"/>
      <c r="E26" s="8"/>
      <c r="F26" s="58"/>
      <c r="H26" s="7"/>
      <c r="I26" s="8"/>
      <c r="J26" s="41"/>
      <c r="K26" s="41"/>
      <c r="L26" s="7">
        <f t="shared" si="1"/>
        <v>0</v>
      </c>
      <c r="M26" s="7"/>
    </row>
    <row r="27" spans="1:13" ht="15.6" x14ac:dyDescent="0.3">
      <c r="A27" s="3"/>
      <c r="B27" s="3"/>
      <c r="C27" s="3">
        <f t="shared" si="0"/>
        <v>0</v>
      </c>
      <c r="D27" s="8"/>
      <c r="E27" s="8"/>
      <c r="F27" s="58"/>
      <c r="H27" s="7"/>
      <c r="I27" s="8"/>
      <c r="J27" s="41"/>
      <c r="K27" s="41"/>
      <c r="L27" s="7">
        <f t="shared" si="1"/>
        <v>0</v>
      </c>
      <c r="M27" s="7"/>
    </row>
    <row r="28" spans="1:13" ht="15.6" x14ac:dyDescent="0.3">
      <c r="A28" s="3"/>
      <c r="B28" s="3"/>
      <c r="C28" s="3">
        <f t="shared" si="0"/>
        <v>0</v>
      </c>
      <c r="D28" s="8"/>
      <c r="E28" s="8"/>
      <c r="F28" s="58"/>
      <c r="H28" s="7"/>
      <c r="I28" s="8"/>
      <c r="J28" s="41"/>
      <c r="K28" s="41"/>
      <c r="L28" s="7">
        <f t="shared" si="1"/>
        <v>0</v>
      </c>
      <c r="M28" s="7"/>
    </row>
    <row r="29" spans="1:13" ht="15.6" x14ac:dyDescent="0.3">
      <c r="A29" s="3"/>
      <c r="B29" s="3"/>
      <c r="C29" s="3">
        <f t="shared" si="0"/>
        <v>0</v>
      </c>
      <c r="D29" s="7"/>
      <c r="E29" s="8"/>
      <c r="F29" s="58"/>
      <c r="H29" s="7"/>
      <c r="I29" s="8"/>
      <c r="J29" s="41"/>
      <c r="K29" s="41"/>
      <c r="L29" s="7">
        <f t="shared" si="1"/>
        <v>0</v>
      </c>
      <c r="M29" s="7"/>
    </row>
    <row r="30" spans="1:13" ht="15.6" x14ac:dyDescent="0.3">
      <c r="A30" s="3"/>
      <c r="B30" s="3"/>
      <c r="C30" s="3">
        <f t="shared" si="0"/>
        <v>0</v>
      </c>
      <c r="D30" s="7"/>
      <c r="E30" s="8"/>
      <c r="F30" s="58"/>
      <c r="H30" s="7"/>
      <c r="I30" s="8"/>
      <c r="J30" s="41"/>
      <c r="K30" s="41"/>
      <c r="L30" s="7">
        <f t="shared" si="1"/>
        <v>0</v>
      </c>
      <c r="M30" s="7"/>
    </row>
    <row r="31" spans="1:13" ht="15.6" x14ac:dyDescent="0.3">
      <c r="A31" s="3"/>
      <c r="B31" s="3"/>
      <c r="C31" s="3">
        <f>IF(A31&gt;0,C30+A31-B31,C30-B31)</f>
        <v>0</v>
      </c>
      <c r="D31" s="7"/>
      <c r="E31" s="8"/>
      <c r="F31" s="58"/>
    </row>
    <row r="32" spans="1:13" ht="15.6" x14ac:dyDescent="0.3">
      <c r="A32" s="3"/>
      <c r="B32" s="3"/>
      <c r="C32" s="3">
        <f t="shared" si="0"/>
        <v>0</v>
      </c>
      <c r="D32" s="7"/>
      <c r="E32" s="8"/>
      <c r="F32" s="58"/>
    </row>
    <row r="33" spans="1:6" ht="15.6" x14ac:dyDescent="0.3">
      <c r="A33" s="3"/>
      <c r="B33" s="3"/>
      <c r="C33" s="3">
        <f t="shared" si="0"/>
        <v>0</v>
      </c>
      <c r="D33" s="7"/>
      <c r="E33" s="8"/>
      <c r="F33" s="58"/>
    </row>
    <row r="34" spans="1:6" ht="15.6" x14ac:dyDescent="0.3">
      <c r="A34" s="3"/>
      <c r="B34" s="3"/>
      <c r="C34" s="3">
        <f t="shared" si="0"/>
        <v>0</v>
      </c>
      <c r="D34" s="7"/>
      <c r="E34" s="8"/>
      <c r="F34" s="58"/>
    </row>
    <row r="35" spans="1:6" ht="15.6" x14ac:dyDescent="0.3">
      <c r="A35" s="3"/>
      <c r="B35" s="3"/>
      <c r="C35" s="3">
        <f t="shared" si="0"/>
        <v>0</v>
      </c>
      <c r="D35" s="7"/>
      <c r="E35" s="8"/>
      <c r="F35" s="58"/>
    </row>
    <row r="36" spans="1:6" ht="15.6" x14ac:dyDescent="0.3">
      <c r="A36" s="3"/>
      <c r="B36" s="3"/>
      <c r="C36" s="3">
        <f>IF(A36&gt;0,C35+A36-B36,C35-B36)</f>
        <v>0</v>
      </c>
      <c r="D36" s="7"/>
      <c r="E36" s="8"/>
      <c r="F36" s="58"/>
    </row>
    <row r="37" spans="1:6" ht="15.6" x14ac:dyDescent="0.3">
      <c r="A37" s="3"/>
      <c r="B37" s="3"/>
      <c r="C37" s="3">
        <f t="shared" si="0"/>
        <v>0</v>
      </c>
      <c r="D37" s="7"/>
      <c r="E37" s="8"/>
      <c r="F37" s="58"/>
    </row>
    <row r="38" spans="1:6" ht="15.6" x14ac:dyDescent="0.3">
      <c r="A38" s="3"/>
      <c r="B38" s="3"/>
      <c r="C38" s="3">
        <f t="shared" si="0"/>
        <v>0</v>
      </c>
      <c r="D38" s="7"/>
      <c r="E38" s="8"/>
      <c r="F38" s="58"/>
    </row>
    <row r="39" spans="1:6" ht="15.6" x14ac:dyDescent="0.3">
      <c r="A39" s="3"/>
      <c r="B39" s="3"/>
      <c r="C39" s="3">
        <f t="shared" si="0"/>
        <v>0</v>
      </c>
      <c r="D39" s="7"/>
      <c r="E39" s="8"/>
      <c r="F39" s="58"/>
    </row>
    <row r="40" spans="1:6" ht="15.6" x14ac:dyDescent="0.3">
      <c r="A40" s="3"/>
      <c r="B40" s="3"/>
      <c r="C40" s="3">
        <f t="shared" si="0"/>
        <v>0</v>
      </c>
      <c r="D40" s="7"/>
      <c r="E40" s="8"/>
      <c r="F40" s="58"/>
    </row>
    <row r="41" spans="1:6" ht="15.6" x14ac:dyDescent="0.3">
      <c r="A41" s="3"/>
      <c r="B41" s="3"/>
      <c r="C41" s="3">
        <f t="shared" si="0"/>
        <v>0</v>
      </c>
      <c r="D41" s="7"/>
      <c r="E41" s="8"/>
      <c r="F41" s="58"/>
    </row>
    <row r="42" spans="1:6" ht="15.6" x14ac:dyDescent="0.3">
      <c r="A42" s="3"/>
      <c r="B42" s="3"/>
      <c r="C42" s="3">
        <f t="shared" si="0"/>
        <v>0</v>
      </c>
      <c r="D42" s="7"/>
      <c r="E42" s="8"/>
      <c r="F42" s="58"/>
    </row>
    <row r="43" spans="1:6" ht="15.6" x14ac:dyDescent="0.3">
      <c r="A43" s="3"/>
      <c r="B43" s="3"/>
      <c r="C43" s="3">
        <f t="shared" si="0"/>
        <v>0</v>
      </c>
      <c r="D43" s="7"/>
      <c r="E43" s="8"/>
      <c r="F43" s="58"/>
    </row>
    <row r="44" spans="1:6" ht="15.6" x14ac:dyDescent="0.3">
      <c r="A44" s="3"/>
      <c r="B44" s="3"/>
      <c r="C44" s="3">
        <f t="shared" si="0"/>
        <v>0</v>
      </c>
      <c r="D44" s="7"/>
      <c r="E44" s="8"/>
      <c r="F44" s="58"/>
    </row>
    <row r="45" spans="1:6" ht="15.6" x14ac:dyDescent="0.3">
      <c r="A45" s="3"/>
      <c r="B45" s="3"/>
      <c r="C45" s="3">
        <f t="shared" si="0"/>
        <v>0</v>
      </c>
      <c r="D45" s="7"/>
      <c r="E45" s="8"/>
      <c r="F45" s="58"/>
    </row>
    <row r="46" spans="1:6" ht="15.6" x14ac:dyDescent="0.3">
      <c r="A46" s="3"/>
      <c r="B46" s="3"/>
      <c r="C46" s="3">
        <f t="shared" si="0"/>
        <v>0</v>
      </c>
      <c r="D46" s="7"/>
      <c r="E46" s="8"/>
      <c r="F46" s="58"/>
    </row>
    <row r="47" spans="1:6" ht="15.6" x14ac:dyDescent="0.3">
      <c r="A47" s="3"/>
      <c r="B47" s="3"/>
      <c r="C47" s="3">
        <f t="shared" si="0"/>
        <v>0</v>
      </c>
      <c r="D47" s="7"/>
      <c r="E47" s="8"/>
      <c r="F47" s="58"/>
    </row>
    <row r="48" spans="1:6" ht="15.6" x14ac:dyDescent="0.3">
      <c r="A48" s="3"/>
      <c r="B48" s="3"/>
      <c r="C48" s="3">
        <f t="shared" si="0"/>
        <v>0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0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0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0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0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0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0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0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0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0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0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0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0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0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0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0</v>
      </c>
      <c r="D63" s="7"/>
      <c r="E63" s="8"/>
      <c r="F63" s="58"/>
    </row>
    <row r="64" spans="1:6" ht="15.6" x14ac:dyDescent="0.3">
      <c r="A64" s="3"/>
      <c r="B64" s="3"/>
      <c r="C64" s="3">
        <f t="shared" si="0"/>
        <v>0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0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0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0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0</v>
      </c>
      <c r="D68" s="7"/>
      <c r="E68" s="8"/>
      <c r="F68" s="58"/>
    </row>
    <row r="69" spans="1:6" ht="15.6" x14ac:dyDescent="0.3">
      <c r="A69" s="3"/>
      <c r="B69" s="3"/>
      <c r="C69" s="3">
        <f t="shared" si="0"/>
        <v>0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0</v>
      </c>
      <c r="D70" s="52"/>
      <c r="E70" s="8"/>
      <c r="F70" s="58"/>
    </row>
    <row r="71" spans="1:6" ht="15.6" x14ac:dyDescent="0.3">
      <c r="A71" s="3"/>
      <c r="B71" s="3"/>
      <c r="C71" s="3">
        <f t="shared" ref="C71:C134" si="2">IF(A71&gt;0,C70+A71-B71,C70-B71)</f>
        <v>0</v>
      </c>
      <c r="D71" s="7"/>
      <c r="E71" s="8"/>
      <c r="F71" s="58"/>
    </row>
    <row r="72" spans="1:6" ht="15.6" x14ac:dyDescent="0.3">
      <c r="A72" s="3"/>
      <c r="B72" s="3"/>
      <c r="C72" s="3">
        <f t="shared" si="2"/>
        <v>0</v>
      </c>
      <c r="D72" s="7"/>
      <c r="E72" s="8"/>
      <c r="F72" s="58"/>
    </row>
    <row r="73" spans="1:6" ht="15.6" x14ac:dyDescent="0.3">
      <c r="A73" s="3"/>
      <c r="B73" s="3"/>
      <c r="C73" s="3">
        <f t="shared" si="2"/>
        <v>0</v>
      </c>
      <c r="D73" s="7"/>
      <c r="E73" s="8"/>
      <c r="F73" s="58"/>
    </row>
    <row r="74" spans="1:6" ht="15.6" x14ac:dyDescent="0.3">
      <c r="A74" s="3"/>
      <c r="B74" s="3"/>
      <c r="C74" s="3">
        <f t="shared" si="2"/>
        <v>0</v>
      </c>
      <c r="D74" s="7"/>
      <c r="E74" s="8"/>
      <c r="F74" s="58"/>
    </row>
    <row r="75" spans="1:6" ht="15.6" x14ac:dyDescent="0.3">
      <c r="A75" s="3"/>
      <c r="B75" s="3"/>
      <c r="C75" s="3">
        <f t="shared" si="2"/>
        <v>0</v>
      </c>
      <c r="D75" s="7"/>
      <c r="E75" s="8"/>
      <c r="F75" s="58"/>
    </row>
    <row r="76" spans="1:6" ht="15.6" x14ac:dyDescent="0.3">
      <c r="A76" s="3"/>
      <c r="B76" s="3"/>
      <c r="C76" s="3">
        <f t="shared" si="2"/>
        <v>0</v>
      </c>
      <c r="D76" s="7"/>
      <c r="E76" s="8"/>
      <c r="F76" s="58"/>
    </row>
    <row r="77" spans="1:6" ht="15.6" x14ac:dyDescent="0.3">
      <c r="A77" s="3"/>
      <c r="B77" s="3"/>
      <c r="C77" s="3">
        <f t="shared" si="2"/>
        <v>0</v>
      </c>
      <c r="D77" s="7"/>
      <c r="E77" s="8"/>
      <c r="F77" s="58"/>
    </row>
    <row r="78" spans="1:6" ht="15.6" x14ac:dyDescent="0.3">
      <c r="A78" s="3"/>
      <c r="B78" s="3"/>
      <c r="C78" s="3">
        <f t="shared" si="2"/>
        <v>0</v>
      </c>
      <c r="D78" s="7"/>
      <c r="E78" s="8"/>
      <c r="F78" s="58"/>
    </row>
    <row r="79" spans="1:6" ht="15.6" x14ac:dyDescent="0.3">
      <c r="A79" s="3"/>
      <c r="B79" s="3"/>
      <c r="C79" s="3">
        <f t="shared" si="2"/>
        <v>0</v>
      </c>
      <c r="D79" s="7"/>
      <c r="E79" s="8"/>
      <c r="F79" s="58"/>
    </row>
    <row r="80" spans="1:6" ht="15.6" x14ac:dyDescent="0.3">
      <c r="A80" s="3"/>
      <c r="B80" s="3"/>
      <c r="C80" s="3">
        <f t="shared" si="2"/>
        <v>0</v>
      </c>
      <c r="D80" s="7"/>
      <c r="E80" s="8"/>
      <c r="F80" s="58"/>
    </row>
    <row r="81" spans="1:6" ht="15.6" x14ac:dyDescent="0.3">
      <c r="A81" s="3"/>
      <c r="B81" s="3"/>
      <c r="C81" s="3">
        <f t="shared" si="2"/>
        <v>0</v>
      </c>
      <c r="D81" s="7"/>
      <c r="E81" s="8"/>
      <c r="F81" s="58"/>
    </row>
    <row r="82" spans="1:6" ht="15.6" x14ac:dyDescent="0.3">
      <c r="A82" s="3"/>
      <c r="B82" s="3"/>
      <c r="C82" s="3">
        <f t="shared" si="2"/>
        <v>0</v>
      </c>
      <c r="D82" s="7"/>
      <c r="E82" s="8"/>
      <c r="F82" s="58"/>
    </row>
    <row r="83" spans="1:6" ht="15.6" x14ac:dyDescent="0.3">
      <c r="A83" s="3"/>
      <c r="B83" s="3"/>
      <c r="C83" s="3">
        <f t="shared" si="2"/>
        <v>0</v>
      </c>
      <c r="D83" s="7"/>
      <c r="E83" s="8"/>
      <c r="F83" s="58"/>
    </row>
    <row r="84" spans="1:6" ht="15.6" x14ac:dyDescent="0.3">
      <c r="A84" s="3"/>
      <c r="B84" s="3"/>
      <c r="C84" s="3">
        <f t="shared" si="2"/>
        <v>0</v>
      </c>
      <c r="D84" s="7"/>
      <c r="E84" s="8"/>
      <c r="F84" s="58"/>
    </row>
    <row r="85" spans="1:6" ht="15.6" x14ac:dyDescent="0.3">
      <c r="A85" s="3"/>
      <c r="B85" s="3"/>
      <c r="C85" s="3">
        <f t="shared" si="2"/>
        <v>0</v>
      </c>
      <c r="D85" s="7"/>
      <c r="E85" s="8"/>
      <c r="F85" s="58"/>
    </row>
    <row r="86" spans="1:6" ht="15.6" x14ac:dyDescent="0.3">
      <c r="A86" s="3"/>
      <c r="B86" s="3"/>
      <c r="C86" s="3">
        <f t="shared" si="2"/>
        <v>0</v>
      </c>
      <c r="D86" s="7"/>
      <c r="E86" s="8"/>
      <c r="F86" s="58"/>
    </row>
    <row r="87" spans="1:6" ht="15.6" x14ac:dyDescent="0.3">
      <c r="A87" s="3"/>
      <c r="B87" s="3"/>
      <c r="C87" s="3">
        <f t="shared" si="2"/>
        <v>0</v>
      </c>
      <c r="D87" s="7"/>
      <c r="E87" s="8"/>
      <c r="F87" s="58"/>
    </row>
    <row r="88" spans="1:6" ht="15.6" x14ac:dyDescent="0.3">
      <c r="A88" s="3"/>
      <c r="B88" s="3"/>
      <c r="C88" s="3">
        <f t="shared" si="2"/>
        <v>0</v>
      </c>
      <c r="D88" s="7"/>
      <c r="E88" s="8"/>
      <c r="F88" s="58"/>
    </row>
    <row r="89" spans="1:6" ht="15.6" x14ac:dyDescent="0.3">
      <c r="A89" s="3"/>
      <c r="B89" s="3"/>
      <c r="C89" s="3">
        <f t="shared" si="2"/>
        <v>0</v>
      </c>
      <c r="D89" s="7"/>
      <c r="E89" s="8"/>
      <c r="F89" s="7"/>
    </row>
    <row r="90" spans="1:6" ht="15.6" x14ac:dyDescent="0.3">
      <c r="A90" s="3"/>
      <c r="B90" s="3"/>
      <c r="C90" s="3">
        <f t="shared" si="2"/>
        <v>0</v>
      </c>
      <c r="D90" s="7"/>
      <c r="E90" s="8"/>
      <c r="F90" s="7"/>
    </row>
    <row r="91" spans="1:6" ht="15.6" x14ac:dyDescent="0.3">
      <c r="A91" s="3"/>
      <c r="B91" s="3"/>
      <c r="C91" s="3">
        <f t="shared" si="2"/>
        <v>0</v>
      </c>
      <c r="D91" s="7"/>
      <c r="E91" s="8"/>
      <c r="F91" s="7"/>
    </row>
    <row r="92" spans="1:6" ht="15.6" x14ac:dyDescent="0.3">
      <c r="A92" s="3"/>
      <c r="B92" s="3"/>
      <c r="C92" s="3">
        <f t="shared" si="2"/>
        <v>0</v>
      </c>
      <c r="D92" s="7"/>
      <c r="E92" s="8"/>
      <c r="F92" s="7"/>
    </row>
    <row r="93" spans="1:6" ht="15.6" x14ac:dyDescent="0.3">
      <c r="A93" s="3"/>
      <c r="B93" s="3"/>
      <c r="C93" s="3">
        <f t="shared" si="2"/>
        <v>0</v>
      </c>
      <c r="D93" s="7"/>
      <c r="E93" s="8"/>
      <c r="F93" s="7"/>
    </row>
    <row r="94" spans="1:6" ht="15.6" x14ac:dyDescent="0.3">
      <c r="A94" s="3"/>
      <c r="B94" s="3"/>
      <c r="C94" s="3">
        <f t="shared" si="2"/>
        <v>0</v>
      </c>
      <c r="D94" s="7"/>
      <c r="E94" s="8"/>
      <c r="F94" s="7"/>
    </row>
    <row r="95" spans="1:6" ht="15.6" x14ac:dyDescent="0.3">
      <c r="A95" s="3"/>
      <c r="B95" s="3"/>
      <c r="C95" s="3">
        <f t="shared" si="2"/>
        <v>0</v>
      </c>
      <c r="D95" s="7"/>
      <c r="E95" s="8"/>
      <c r="F95" s="7"/>
    </row>
    <row r="96" spans="1:6" ht="15.6" x14ac:dyDescent="0.3">
      <c r="A96" s="3"/>
      <c r="B96" s="3"/>
      <c r="C96" s="3">
        <f t="shared" si="2"/>
        <v>0</v>
      </c>
      <c r="D96" s="7"/>
      <c r="E96" s="8"/>
      <c r="F96" s="7"/>
    </row>
    <row r="97" spans="1:6" ht="15.6" x14ac:dyDescent="0.3">
      <c r="A97" s="3"/>
      <c r="B97" s="3"/>
      <c r="C97" s="3">
        <f t="shared" si="2"/>
        <v>0</v>
      </c>
      <c r="D97" s="7"/>
      <c r="E97" s="8"/>
      <c r="F97" s="7"/>
    </row>
    <row r="98" spans="1:6" ht="15.6" x14ac:dyDescent="0.3">
      <c r="A98" s="3"/>
      <c r="B98" s="3"/>
      <c r="C98" s="3">
        <f t="shared" si="2"/>
        <v>0</v>
      </c>
      <c r="D98" s="7"/>
      <c r="E98" s="8"/>
      <c r="F98" s="7"/>
    </row>
    <row r="99" spans="1:6" ht="15.6" x14ac:dyDescent="0.3">
      <c r="A99" s="3"/>
      <c r="B99" s="3"/>
      <c r="C99" s="3">
        <f t="shared" si="2"/>
        <v>0</v>
      </c>
      <c r="D99" s="7"/>
      <c r="E99" s="8"/>
      <c r="F99" s="7"/>
    </row>
    <row r="100" spans="1:6" ht="15.6" x14ac:dyDescent="0.3">
      <c r="A100" s="3"/>
      <c r="B100" s="3"/>
      <c r="C100" s="3">
        <f t="shared" si="2"/>
        <v>0</v>
      </c>
      <c r="D100" s="7"/>
      <c r="E100" s="8"/>
      <c r="F100" s="7"/>
    </row>
    <row r="101" spans="1:6" ht="15.6" x14ac:dyDescent="0.3">
      <c r="A101" s="3"/>
      <c r="B101" s="3"/>
      <c r="C101" s="3">
        <f t="shared" si="2"/>
        <v>0</v>
      </c>
      <c r="D101" s="7"/>
      <c r="E101" s="8"/>
      <c r="F101" s="7"/>
    </row>
    <row r="102" spans="1:6" ht="15.6" x14ac:dyDescent="0.3">
      <c r="A102" s="3"/>
      <c r="B102" s="3"/>
      <c r="C102" s="3">
        <f t="shared" si="2"/>
        <v>0</v>
      </c>
      <c r="D102" s="7"/>
      <c r="E102" s="8"/>
      <c r="F102" s="7"/>
    </row>
    <row r="103" spans="1:6" ht="15.6" x14ac:dyDescent="0.3">
      <c r="A103" s="3"/>
      <c r="B103" s="3"/>
      <c r="C103" s="3">
        <f t="shared" si="2"/>
        <v>0</v>
      </c>
      <c r="D103" s="7"/>
      <c r="E103" s="8"/>
      <c r="F103" s="7"/>
    </row>
    <row r="104" spans="1:6" ht="15.6" x14ac:dyDescent="0.3">
      <c r="A104" s="3"/>
      <c r="B104" s="3"/>
      <c r="C104" s="3">
        <f t="shared" si="2"/>
        <v>0</v>
      </c>
      <c r="D104" s="7"/>
      <c r="E104" s="8"/>
      <c r="F104" s="7"/>
    </row>
    <row r="105" spans="1:6" ht="15.6" x14ac:dyDescent="0.3">
      <c r="A105" s="3"/>
      <c r="B105" s="3"/>
      <c r="C105" s="3">
        <f t="shared" si="2"/>
        <v>0</v>
      </c>
      <c r="D105" s="7"/>
      <c r="E105" s="8"/>
      <c r="F105" s="7"/>
    </row>
    <row r="106" spans="1:6" ht="15.6" x14ac:dyDescent="0.3">
      <c r="A106" s="3"/>
      <c r="B106" s="3"/>
      <c r="C106" s="3">
        <f t="shared" si="2"/>
        <v>0</v>
      </c>
      <c r="D106" s="7"/>
      <c r="E106" s="8"/>
      <c r="F106" s="7"/>
    </row>
    <row r="107" spans="1:6" ht="15.6" x14ac:dyDescent="0.3">
      <c r="A107" s="3"/>
      <c r="B107" s="3"/>
      <c r="C107" s="3">
        <f t="shared" si="2"/>
        <v>0</v>
      </c>
      <c r="D107" s="7"/>
      <c r="E107" s="8"/>
      <c r="F107" s="7"/>
    </row>
    <row r="108" spans="1:6" ht="15.6" x14ac:dyDescent="0.3">
      <c r="A108" s="3"/>
      <c r="B108" s="3"/>
      <c r="C108" s="3">
        <f t="shared" si="2"/>
        <v>0</v>
      </c>
      <c r="D108" s="7"/>
      <c r="E108" s="8"/>
      <c r="F108" s="7"/>
    </row>
    <row r="109" spans="1:6" ht="15.6" x14ac:dyDescent="0.3">
      <c r="A109" s="3"/>
      <c r="B109" s="3"/>
      <c r="C109" s="3">
        <f t="shared" si="2"/>
        <v>0</v>
      </c>
      <c r="D109" s="7"/>
      <c r="E109" s="8"/>
      <c r="F109" s="7"/>
    </row>
    <row r="110" spans="1:6" ht="15.6" x14ac:dyDescent="0.3">
      <c r="A110" s="3"/>
      <c r="B110" s="3"/>
      <c r="C110" s="3">
        <f t="shared" si="2"/>
        <v>0</v>
      </c>
      <c r="D110" s="7"/>
      <c r="E110" s="8"/>
      <c r="F110" s="7"/>
    </row>
    <row r="111" spans="1:6" ht="15.6" x14ac:dyDescent="0.3">
      <c r="A111" s="3"/>
      <c r="B111" s="3"/>
      <c r="C111" s="3">
        <f t="shared" si="2"/>
        <v>0</v>
      </c>
      <c r="D111" s="7"/>
      <c r="E111" s="8"/>
      <c r="F111" s="7"/>
    </row>
    <row r="112" spans="1:6" ht="15.6" x14ac:dyDescent="0.3">
      <c r="A112" s="3"/>
      <c r="B112" s="3"/>
      <c r="C112" s="3">
        <f t="shared" si="2"/>
        <v>0</v>
      </c>
      <c r="D112" s="7"/>
      <c r="E112" s="8"/>
      <c r="F112" s="7"/>
    </row>
    <row r="113" spans="1:6" ht="15.6" x14ac:dyDescent="0.3">
      <c r="A113" s="3"/>
      <c r="B113" s="3"/>
      <c r="C113" s="3">
        <f t="shared" si="2"/>
        <v>0</v>
      </c>
      <c r="D113" s="7"/>
      <c r="E113" s="8"/>
      <c r="F113" s="7"/>
    </row>
    <row r="114" spans="1:6" ht="15.6" x14ac:dyDescent="0.3">
      <c r="A114" s="3"/>
      <c r="B114" s="3"/>
      <c r="C114" s="3">
        <f t="shared" si="2"/>
        <v>0</v>
      </c>
      <c r="D114" s="7"/>
      <c r="E114" s="8"/>
      <c r="F114" s="7"/>
    </row>
    <row r="115" spans="1:6" ht="15.6" x14ac:dyDescent="0.3">
      <c r="A115" s="3"/>
      <c r="B115" s="3"/>
      <c r="C115" s="3">
        <f t="shared" si="2"/>
        <v>0</v>
      </c>
      <c r="D115" s="7"/>
      <c r="E115" s="8"/>
      <c r="F115" s="7"/>
    </row>
    <row r="116" spans="1:6" ht="15.6" x14ac:dyDescent="0.3">
      <c r="A116" s="3"/>
      <c r="B116" s="3"/>
      <c r="C116" s="3">
        <f t="shared" si="2"/>
        <v>0</v>
      </c>
      <c r="D116" s="7"/>
      <c r="E116" s="8"/>
      <c r="F116" s="7"/>
    </row>
    <row r="117" spans="1:6" ht="15.6" x14ac:dyDescent="0.3">
      <c r="A117" s="3"/>
      <c r="B117" s="3"/>
      <c r="C117" s="3">
        <f t="shared" si="2"/>
        <v>0</v>
      </c>
      <c r="D117" s="7"/>
      <c r="E117" s="8"/>
      <c r="F117" s="7"/>
    </row>
    <row r="118" spans="1:6" ht="15.6" x14ac:dyDescent="0.3">
      <c r="A118" s="3"/>
      <c r="B118" s="3"/>
      <c r="C118" s="3">
        <f t="shared" si="2"/>
        <v>0</v>
      </c>
      <c r="D118" s="7"/>
      <c r="E118" s="8"/>
      <c r="F118" s="7"/>
    </row>
    <row r="119" spans="1:6" ht="15.6" x14ac:dyDescent="0.3">
      <c r="A119" s="3"/>
      <c r="B119" s="3"/>
      <c r="C119" s="3">
        <f t="shared" si="2"/>
        <v>0</v>
      </c>
      <c r="D119" s="7"/>
      <c r="E119" s="8"/>
      <c r="F119" s="7"/>
    </row>
    <row r="120" spans="1:6" ht="15.6" x14ac:dyDescent="0.3">
      <c r="A120" s="3"/>
      <c r="B120" s="3"/>
      <c r="C120" s="3">
        <f t="shared" si="2"/>
        <v>0</v>
      </c>
      <c r="D120" s="7"/>
      <c r="E120" s="8"/>
      <c r="F120" s="7"/>
    </row>
    <row r="121" spans="1:6" ht="15.6" x14ac:dyDescent="0.3">
      <c r="A121" s="3"/>
      <c r="B121" s="3"/>
      <c r="C121" s="3">
        <f t="shared" si="2"/>
        <v>0</v>
      </c>
      <c r="D121" s="7"/>
      <c r="E121" s="8"/>
      <c r="F121" s="7"/>
    </row>
    <row r="122" spans="1:6" ht="15.6" x14ac:dyDescent="0.3">
      <c r="A122" s="3"/>
      <c r="B122" s="3"/>
      <c r="C122" s="3">
        <f t="shared" si="2"/>
        <v>0</v>
      </c>
      <c r="D122" s="7"/>
      <c r="E122" s="8"/>
      <c r="F122" s="7"/>
    </row>
    <row r="123" spans="1:6" ht="15.6" x14ac:dyDescent="0.3">
      <c r="A123" s="3"/>
      <c r="B123" s="3"/>
      <c r="C123" s="3">
        <f t="shared" si="2"/>
        <v>0</v>
      </c>
      <c r="D123" s="7"/>
      <c r="E123" s="8"/>
      <c r="F123" s="7"/>
    </row>
    <row r="124" spans="1:6" ht="15.6" x14ac:dyDescent="0.3">
      <c r="A124" s="3"/>
      <c r="B124" s="3"/>
      <c r="C124" s="3">
        <f t="shared" si="2"/>
        <v>0</v>
      </c>
      <c r="D124" s="7"/>
      <c r="E124" s="8"/>
      <c r="F124" s="7"/>
    </row>
    <row r="125" spans="1:6" ht="15.6" x14ac:dyDescent="0.3">
      <c r="A125" s="3"/>
      <c r="B125" s="3"/>
      <c r="C125" s="3">
        <f t="shared" si="2"/>
        <v>0</v>
      </c>
      <c r="D125" s="7"/>
      <c r="E125" s="8"/>
      <c r="F125" s="7"/>
    </row>
    <row r="126" spans="1:6" ht="15.6" x14ac:dyDescent="0.3">
      <c r="A126" s="3"/>
      <c r="B126" s="3"/>
      <c r="C126" s="3">
        <f t="shared" si="2"/>
        <v>0</v>
      </c>
      <c r="D126" s="7"/>
      <c r="E126" s="8"/>
      <c r="F126" s="7"/>
    </row>
    <row r="127" spans="1:6" ht="15.6" x14ac:dyDescent="0.3">
      <c r="A127" s="3"/>
      <c r="B127" s="3"/>
      <c r="C127" s="3">
        <f t="shared" si="2"/>
        <v>0</v>
      </c>
      <c r="D127" s="7"/>
      <c r="E127" s="8"/>
      <c r="F127" s="7"/>
    </row>
    <row r="128" spans="1:6" ht="15.6" x14ac:dyDescent="0.3">
      <c r="A128" s="3"/>
      <c r="B128" s="3"/>
      <c r="C128" s="3">
        <f t="shared" si="2"/>
        <v>0</v>
      </c>
      <c r="D128" s="7"/>
      <c r="E128" s="8"/>
      <c r="F128" s="7"/>
    </row>
    <row r="129" spans="1:6" ht="15.6" x14ac:dyDescent="0.3">
      <c r="A129" s="3"/>
      <c r="B129" s="3"/>
      <c r="C129" s="3">
        <f t="shared" si="2"/>
        <v>0</v>
      </c>
      <c r="D129" s="7"/>
      <c r="E129" s="8"/>
      <c r="F129" s="7"/>
    </row>
    <row r="130" spans="1:6" ht="15.6" x14ac:dyDescent="0.3">
      <c r="A130" s="3"/>
      <c r="B130" s="3"/>
      <c r="C130" s="3">
        <f t="shared" si="2"/>
        <v>0</v>
      </c>
      <c r="D130" s="7"/>
      <c r="E130" s="8"/>
      <c r="F130" s="7"/>
    </row>
    <row r="131" spans="1:6" ht="15.6" x14ac:dyDescent="0.3">
      <c r="A131" s="3"/>
      <c r="B131" s="3"/>
      <c r="C131" s="3">
        <f t="shared" si="2"/>
        <v>0</v>
      </c>
      <c r="D131" s="7"/>
      <c r="E131" s="8"/>
      <c r="F131" s="7"/>
    </row>
    <row r="132" spans="1:6" ht="15.6" x14ac:dyDescent="0.3">
      <c r="A132" s="3"/>
      <c r="B132" s="3"/>
      <c r="C132" s="3">
        <f t="shared" si="2"/>
        <v>0</v>
      </c>
      <c r="D132" s="7"/>
      <c r="E132" s="8"/>
      <c r="F132" s="7"/>
    </row>
    <row r="133" spans="1:6" ht="15.6" x14ac:dyDescent="0.3">
      <c r="A133" s="3"/>
      <c r="B133" s="3"/>
      <c r="C133" s="3">
        <f t="shared" si="2"/>
        <v>0</v>
      </c>
      <c r="D133" s="7"/>
      <c r="E133" s="8"/>
      <c r="F133" s="7"/>
    </row>
    <row r="134" spans="1:6" ht="15.6" x14ac:dyDescent="0.3">
      <c r="A134" s="3"/>
      <c r="B134" s="3"/>
      <c r="C134" s="3">
        <f t="shared" si="2"/>
        <v>0</v>
      </c>
      <c r="D134" s="7"/>
      <c r="E134" s="8"/>
      <c r="F134" s="7"/>
    </row>
    <row r="135" spans="1:6" ht="15.6" x14ac:dyDescent="0.3">
      <c r="A135" s="3"/>
      <c r="B135" s="3"/>
      <c r="C135" s="3">
        <f t="shared" ref="C135:C152" si="3">IF(A135&gt;0,C134+A135-B135,C134-B135)</f>
        <v>0</v>
      </c>
      <c r="D135" s="7"/>
      <c r="E135" s="8"/>
      <c r="F135" s="7"/>
    </row>
    <row r="136" spans="1:6" ht="15.6" x14ac:dyDescent="0.3">
      <c r="A136" s="3"/>
      <c r="B136" s="3"/>
      <c r="C136" s="3">
        <f t="shared" si="3"/>
        <v>0</v>
      </c>
      <c r="D136" s="7"/>
      <c r="E136" s="8"/>
      <c r="F136" s="7"/>
    </row>
    <row r="137" spans="1:6" ht="15.6" x14ac:dyDescent="0.3">
      <c r="A137" s="3"/>
      <c r="B137" s="3"/>
      <c r="C137" s="3">
        <f t="shared" si="3"/>
        <v>0</v>
      </c>
      <c r="D137" s="7"/>
      <c r="E137" s="8"/>
      <c r="F137" s="7"/>
    </row>
    <row r="138" spans="1:6" ht="15.6" x14ac:dyDescent="0.3">
      <c r="A138" s="3"/>
      <c r="B138" s="3"/>
      <c r="C138" s="3">
        <f t="shared" si="3"/>
        <v>0</v>
      </c>
      <c r="D138" s="7"/>
      <c r="E138" s="8"/>
      <c r="F138" s="7"/>
    </row>
    <row r="139" spans="1:6" ht="15.6" x14ac:dyDescent="0.3">
      <c r="A139" s="3"/>
      <c r="B139" s="3"/>
      <c r="C139" s="3">
        <f t="shared" si="3"/>
        <v>0</v>
      </c>
      <c r="D139" s="7"/>
      <c r="E139" s="8"/>
      <c r="F139" s="7"/>
    </row>
    <row r="140" spans="1:6" ht="15.6" x14ac:dyDescent="0.3">
      <c r="A140" s="3"/>
      <c r="B140" s="3"/>
      <c r="C140" s="3">
        <f t="shared" si="3"/>
        <v>0</v>
      </c>
      <c r="D140" s="7"/>
      <c r="E140" s="8"/>
      <c r="F140" s="7"/>
    </row>
    <row r="141" spans="1:6" ht="15.6" x14ac:dyDescent="0.3">
      <c r="A141" s="3"/>
      <c r="B141" s="3"/>
      <c r="C141" s="3">
        <f t="shared" si="3"/>
        <v>0</v>
      </c>
      <c r="D141" s="7"/>
      <c r="E141" s="8"/>
      <c r="F141" s="7"/>
    </row>
    <row r="142" spans="1:6" ht="15.6" x14ac:dyDescent="0.3">
      <c r="A142" s="3"/>
      <c r="B142" s="3"/>
      <c r="C142" s="3">
        <f t="shared" si="3"/>
        <v>0</v>
      </c>
      <c r="D142" s="7"/>
      <c r="E142" s="8"/>
      <c r="F142" s="7"/>
    </row>
    <row r="143" spans="1:6" ht="15.6" x14ac:dyDescent="0.3">
      <c r="A143" s="3"/>
      <c r="B143" s="3"/>
      <c r="C143" s="3">
        <f t="shared" si="3"/>
        <v>0</v>
      </c>
      <c r="D143" s="7"/>
      <c r="E143" s="8"/>
      <c r="F143" s="7"/>
    </row>
    <row r="144" spans="1:6" ht="15.6" x14ac:dyDescent="0.3">
      <c r="A144" s="3"/>
      <c r="B144" s="3"/>
      <c r="C144" s="3">
        <f t="shared" si="3"/>
        <v>0</v>
      </c>
      <c r="D144" s="7"/>
      <c r="E144" s="8"/>
      <c r="F144" s="7"/>
    </row>
    <row r="145" spans="1:6" ht="15.6" x14ac:dyDescent="0.3">
      <c r="A145" s="3"/>
      <c r="B145" s="3"/>
      <c r="C145" s="3">
        <f t="shared" si="3"/>
        <v>0</v>
      </c>
      <c r="D145" s="7"/>
      <c r="E145" s="8"/>
      <c r="F145" s="7"/>
    </row>
    <row r="146" spans="1:6" ht="15.6" x14ac:dyDescent="0.3">
      <c r="A146" s="3"/>
      <c r="B146" s="3"/>
      <c r="C146" s="3">
        <f t="shared" si="3"/>
        <v>0</v>
      </c>
      <c r="D146" s="7"/>
      <c r="E146" s="8"/>
      <c r="F146" s="7"/>
    </row>
    <row r="147" spans="1:6" ht="15.6" x14ac:dyDescent="0.3">
      <c r="A147" s="3"/>
      <c r="B147" s="3"/>
      <c r="C147" s="3">
        <f t="shared" si="3"/>
        <v>0</v>
      </c>
      <c r="D147" s="7"/>
      <c r="E147" s="8"/>
      <c r="F147" s="7"/>
    </row>
    <row r="148" spans="1:6" ht="15.6" x14ac:dyDescent="0.3">
      <c r="A148" s="3"/>
      <c r="B148" s="3"/>
      <c r="C148" s="3">
        <f t="shared" si="3"/>
        <v>0</v>
      </c>
      <c r="D148" s="7"/>
      <c r="E148" s="8"/>
      <c r="F148" s="7"/>
    </row>
    <row r="149" spans="1:6" ht="15.6" x14ac:dyDescent="0.3">
      <c r="A149" s="3"/>
      <c r="B149" s="3"/>
      <c r="C149" s="3">
        <f t="shared" si="3"/>
        <v>0</v>
      </c>
      <c r="D149" s="7"/>
      <c r="E149" s="8"/>
      <c r="F149" s="7"/>
    </row>
    <row r="150" spans="1:6" ht="15.6" x14ac:dyDescent="0.3">
      <c r="A150" s="3"/>
      <c r="B150" s="3"/>
      <c r="C150" s="3">
        <f t="shared" si="3"/>
        <v>0</v>
      </c>
      <c r="D150" s="7"/>
      <c r="E150" s="8"/>
      <c r="F150" s="7"/>
    </row>
    <row r="151" spans="1:6" ht="15.6" x14ac:dyDescent="0.3">
      <c r="A151" s="3"/>
      <c r="B151" s="3"/>
      <c r="C151" s="3">
        <f t="shared" si="3"/>
        <v>0</v>
      </c>
      <c r="D151" s="7"/>
      <c r="E151" s="8"/>
      <c r="F151" s="7"/>
    </row>
    <row r="152" spans="1:6" ht="15.6" x14ac:dyDescent="0.3">
      <c r="A152" s="3"/>
      <c r="B152" s="3"/>
      <c r="C152" s="3">
        <f t="shared" si="3"/>
        <v>0</v>
      </c>
      <c r="D152" s="7"/>
      <c r="E152" s="8"/>
      <c r="F152" s="7"/>
    </row>
  </sheetData>
  <mergeCells count="3">
    <mergeCell ref="J2:K2"/>
    <mergeCell ref="K3:L3"/>
    <mergeCell ref="K7:L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57"/>
  <sheetViews>
    <sheetView rightToLeft="1" workbookViewId="0">
      <pane ySplit="5" topLeftCell="A16" activePane="bottomLeft" state="frozen"/>
      <selection pane="bottomLeft" activeCell="A21" sqref="A21"/>
    </sheetView>
  </sheetViews>
  <sheetFormatPr defaultColWidth="9" defaultRowHeight="14.4" x14ac:dyDescent="0.3"/>
  <cols>
    <col min="1" max="1" width="11.6640625" customWidth="1"/>
    <col min="2" max="2" width="12.5546875" style="228" customWidth="1"/>
    <col min="3" max="3" width="12.6640625" bestFit="1" customWidth="1"/>
    <col min="4" max="4" width="30.33203125" customWidth="1"/>
    <col min="5" max="5" width="20.44140625" bestFit="1" customWidth="1"/>
    <col min="6" max="6" width="10.6640625" customWidth="1"/>
    <col min="9" max="9" width="7" customWidth="1"/>
    <col min="10" max="10" width="12.109375" bestFit="1" customWidth="1"/>
    <col min="11" max="11" width="19.44140625" customWidth="1"/>
    <col min="12" max="12" width="17.5546875" bestFit="1" customWidth="1"/>
    <col min="13" max="13" width="10.33203125" bestFit="1" customWidth="1"/>
    <col min="14" max="14" width="30.6640625" bestFit="1" customWidth="1"/>
  </cols>
  <sheetData>
    <row r="1" spans="1:14" ht="15.6" x14ac:dyDescent="0.3">
      <c r="A1" s="206"/>
      <c r="B1" s="223"/>
      <c r="C1" s="1"/>
      <c r="D1" s="1"/>
      <c r="E1" s="2"/>
      <c r="F1" s="1"/>
    </row>
    <row r="2" spans="1:14" ht="24.75" customHeight="1" x14ac:dyDescent="0.3">
      <c r="A2" s="229">
        <f>SUBTOTAL(9,A5:A157)</f>
        <v>25000000</v>
      </c>
      <c r="B2" s="224">
        <f>SUBTOTAL(9,B5:B157)</f>
        <v>29000000</v>
      </c>
      <c r="C2" s="3">
        <f>A2-B2</f>
        <v>-4000000</v>
      </c>
      <c r="D2" s="1"/>
      <c r="E2" s="2"/>
      <c r="F2" s="1"/>
    </row>
    <row r="3" spans="1:14" ht="29.25" customHeight="1" x14ac:dyDescent="0.3">
      <c r="A3" s="289" t="s">
        <v>184</v>
      </c>
      <c r="B3" s="290"/>
      <c r="C3" s="6"/>
      <c r="D3" s="5" t="s">
        <v>185</v>
      </c>
      <c r="E3" s="6"/>
      <c r="F3" s="6"/>
      <c r="I3" s="206"/>
      <c r="J3" s="1"/>
      <c r="K3" s="206"/>
      <c r="L3" s="300"/>
      <c r="M3" s="300"/>
      <c r="N3" s="300"/>
    </row>
    <row r="4" spans="1:14" ht="24" customHeight="1" x14ac:dyDescent="0.3">
      <c r="A4" s="58" t="s">
        <v>2</v>
      </c>
      <c r="B4" s="57" t="s">
        <v>3</v>
      </c>
      <c r="C4" s="7" t="s">
        <v>4</v>
      </c>
      <c r="D4" s="7" t="s">
        <v>5</v>
      </c>
      <c r="E4" s="8" t="s">
        <v>6</v>
      </c>
      <c r="F4" s="7" t="s">
        <v>7</v>
      </c>
      <c r="I4" s="1"/>
      <c r="J4" s="1"/>
      <c r="K4" s="79"/>
      <c r="L4" s="79"/>
      <c r="M4" s="1"/>
      <c r="N4" s="1"/>
    </row>
    <row r="5" spans="1:14" ht="13.5" hidden="1" customHeight="1" x14ac:dyDescent="0.3">
      <c r="A5" s="58"/>
      <c r="B5" s="57"/>
      <c r="C5" s="7">
        <v>0</v>
      </c>
      <c r="D5" s="7"/>
      <c r="E5" s="8"/>
      <c r="F5" s="7"/>
      <c r="I5" s="1"/>
      <c r="J5" s="1"/>
      <c r="K5" s="79"/>
      <c r="L5" s="79"/>
      <c r="M5" s="1"/>
      <c r="N5" s="1"/>
    </row>
    <row r="6" spans="1:14" ht="15.6" x14ac:dyDescent="0.3">
      <c r="A6" s="122"/>
      <c r="B6" s="225">
        <v>10000000</v>
      </c>
      <c r="C6" s="4">
        <f>IF(A6&gt;0,C5+A6-B6,C5-B6)</f>
        <v>-10000000</v>
      </c>
      <c r="D6" s="65" t="s">
        <v>186</v>
      </c>
      <c r="E6" s="118">
        <v>45962.6038541667</v>
      </c>
      <c r="F6" s="58"/>
      <c r="I6" s="6"/>
      <c r="J6" s="5" t="s">
        <v>37</v>
      </c>
      <c r="K6" s="6" t="s">
        <v>193</v>
      </c>
      <c r="L6" s="272" t="s">
        <v>194</v>
      </c>
      <c r="M6" s="272"/>
      <c r="N6" s="272"/>
    </row>
    <row r="7" spans="1:14" ht="15.6" x14ac:dyDescent="0.3">
      <c r="A7" s="122"/>
      <c r="B7" s="225">
        <v>13000000</v>
      </c>
      <c r="C7" s="4">
        <f t="shared" ref="C7:C77" si="0">IF(A7&gt;0,C6+A7-B7,C6-B7)</f>
        <v>-23000000</v>
      </c>
      <c r="D7" s="65" t="s">
        <v>187</v>
      </c>
      <c r="E7" s="118">
        <v>45988.4817867245</v>
      </c>
      <c r="F7" s="58"/>
      <c r="I7" s="7" t="s">
        <v>40</v>
      </c>
      <c r="J7" s="7" t="s">
        <v>6</v>
      </c>
      <c r="K7" s="41" t="s">
        <v>41</v>
      </c>
      <c r="L7" s="41" t="s">
        <v>42</v>
      </c>
      <c r="M7" s="7" t="s">
        <v>43</v>
      </c>
      <c r="N7" s="7" t="s">
        <v>7</v>
      </c>
    </row>
    <row r="8" spans="1:14" ht="15.6" x14ac:dyDescent="0.3">
      <c r="A8" s="64"/>
      <c r="B8" s="226">
        <v>5500000</v>
      </c>
      <c r="C8" s="4">
        <f t="shared" si="0"/>
        <v>-28500000</v>
      </c>
      <c r="D8" s="65" t="s">
        <v>188</v>
      </c>
      <c r="E8" s="118">
        <v>45988.484847800901</v>
      </c>
      <c r="F8" s="58"/>
      <c r="I8" s="7"/>
      <c r="J8" s="7"/>
      <c r="K8" s="41">
        <v>10000000</v>
      </c>
      <c r="L8" s="41"/>
      <c r="M8" s="7">
        <f>K8-L8</f>
        <v>10000000</v>
      </c>
      <c r="N8" s="7" t="s">
        <v>44</v>
      </c>
    </row>
    <row r="9" spans="1:14" ht="15.6" x14ac:dyDescent="0.3">
      <c r="A9" s="36">
        <v>1000000</v>
      </c>
      <c r="B9" s="218"/>
      <c r="C9" s="3">
        <f t="shared" si="0"/>
        <v>-27500000</v>
      </c>
      <c r="D9" s="75" t="s">
        <v>189</v>
      </c>
      <c r="E9" s="35">
        <v>45969.427082407397</v>
      </c>
      <c r="F9" s="58"/>
      <c r="I9" s="7"/>
      <c r="J9" s="8"/>
      <c r="K9" s="41"/>
      <c r="L9" s="41"/>
      <c r="M9" s="7">
        <f>M8-L9</f>
        <v>10000000</v>
      </c>
      <c r="N9" s="7"/>
    </row>
    <row r="10" spans="1:14" ht="15.6" x14ac:dyDescent="0.3">
      <c r="A10" s="36">
        <v>1000000</v>
      </c>
      <c r="B10" s="218"/>
      <c r="C10" s="3">
        <f t="shared" si="0"/>
        <v>-26500000</v>
      </c>
      <c r="D10" s="75" t="s">
        <v>190</v>
      </c>
      <c r="E10" s="35">
        <v>45987.7651273148</v>
      </c>
      <c r="F10" s="58"/>
      <c r="I10" s="7">
        <v>1</v>
      </c>
      <c r="J10" s="46" t="s">
        <v>126</v>
      </c>
      <c r="K10" s="47"/>
      <c r="L10" s="47">
        <v>1000000</v>
      </c>
      <c r="M10" s="48">
        <f>M9-L10</f>
        <v>9000000</v>
      </c>
      <c r="N10" s="48" t="s">
        <v>502</v>
      </c>
    </row>
    <row r="11" spans="1:14" ht="15.6" x14ac:dyDescent="0.3">
      <c r="A11" s="36">
        <v>250000</v>
      </c>
      <c r="B11" s="218"/>
      <c r="C11" s="3">
        <f t="shared" si="0"/>
        <v>-26250000</v>
      </c>
      <c r="D11" s="75" t="s">
        <v>191</v>
      </c>
      <c r="E11" s="35">
        <v>45992.550898460599</v>
      </c>
      <c r="F11" s="58"/>
      <c r="I11" s="7">
        <v>2</v>
      </c>
      <c r="J11" s="46" t="s">
        <v>74</v>
      </c>
      <c r="K11" s="47"/>
      <c r="L11" s="47">
        <v>1000000</v>
      </c>
      <c r="M11" s="48">
        <f>M10-L11</f>
        <v>8000000</v>
      </c>
      <c r="N11" s="48" t="s">
        <v>136</v>
      </c>
    </row>
    <row r="12" spans="1:14" ht="15.6" x14ac:dyDescent="0.3">
      <c r="A12" s="36">
        <v>1000000</v>
      </c>
      <c r="B12" s="218"/>
      <c r="C12" s="3">
        <f t="shared" si="0"/>
        <v>-25250000</v>
      </c>
      <c r="D12" s="75" t="s">
        <v>28</v>
      </c>
      <c r="E12" s="35">
        <v>45993.832181400503</v>
      </c>
      <c r="F12" s="58"/>
      <c r="I12" s="7">
        <v>3</v>
      </c>
      <c r="J12" s="46" t="s">
        <v>75</v>
      </c>
      <c r="K12" s="47"/>
      <c r="L12" s="47">
        <v>1000000</v>
      </c>
      <c r="M12" s="48">
        <f t="shared" ref="M12:M22" si="1">M11-L12</f>
        <v>7000000</v>
      </c>
      <c r="N12" s="48" t="s">
        <v>136</v>
      </c>
    </row>
    <row r="13" spans="1:14" ht="15.6" x14ac:dyDescent="0.3">
      <c r="A13" s="36">
        <v>2250000</v>
      </c>
      <c r="B13" s="218"/>
      <c r="C13" s="3">
        <f t="shared" si="0"/>
        <v>-23000000</v>
      </c>
      <c r="D13" s="75" t="s">
        <v>28</v>
      </c>
      <c r="E13" s="35">
        <v>46008.155022222199</v>
      </c>
      <c r="F13" s="58"/>
      <c r="I13" s="7">
        <v>4</v>
      </c>
      <c r="J13" s="46" t="s">
        <v>76</v>
      </c>
      <c r="K13" s="47"/>
      <c r="L13" s="47">
        <v>1000000</v>
      </c>
      <c r="M13" s="48">
        <f t="shared" si="1"/>
        <v>6000000</v>
      </c>
      <c r="N13" s="48" t="s">
        <v>136</v>
      </c>
    </row>
    <row r="14" spans="1:14" ht="15.6" x14ac:dyDescent="0.3">
      <c r="A14" s="123">
        <v>2000000</v>
      </c>
      <c r="B14" s="227"/>
      <c r="C14" s="3">
        <f t="shared" si="0"/>
        <v>-21000000</v>
      </c>
      <c r="D14" s="75" t="s">
        <v>28</v>
      </c>
      <c r="E14" s="35">
        <v>46055.155023148145</v>
      </c>
      <c r="F14" s="58"/>
      <c r="I14" s="7">
        <v>5</v>
      </c>
      <c r="J14" s="46" t="s">
        <v>77</v>
      </c>
      <c r="K14" s="47"/>
      <c r="L14" s="47">
        <v>1000000</v>
      </c>
      <c r="M14" s="48">
        <f t="shared" si="1"/>
        <v>5000000</v>
      </c>
      <c r="N14" s="48" t="s">
        <v>136</v>
      </c>
    </row>
    <row r="15" spans="1:14" ht="15.6" x14ac:dyDescent="0.3">
      <c r="A15" s="123">
        <v>2000000</v>
      </c>
      <c r="B15" s="227"/>
      <c r="C15" s="3">
        <f t="shared" si="0"/>
        <v>-19000000</v>
      </c>
      <c r="D15" s="75" t="s">
        <v>28</v>
      </c>
      <c r="E15" s="35">
        <v>46098.155023148145</v>
      </c>
      <c r="F15" s="58"/>
      <c r="I15" s="7">
        <v>6</v>
      </c>
      <c r="J15" s="8" t="s">
        <v>78</v>
      </c>
      <c r="K15" s="41"/>
      <c r="L15" s="41">
        <v>1000000</v>
      </c>
      <c r="M15" s="7">
        <f t="shared" si="1"/>
        <v>4000000</v>
      </c>
      <c r="N15" s="7"/>
    </row>
    <row r="16" spans="1:14" ht="15.6" x14ac:dyDescent="0.3">
      <c r="A16" s="247"/>
      <c r="B16" s="248">
        <v>500000</v>
      </c>
      <c r="C16" s="59">
        <f t="shared" si="0"/>
        <v>-19500000</v>
      </c>
      <c r="D16" s="125" t="s">
        <v>192</v>
      </c>
      <c r="E16" s="63">
        <v>46055.155023148145</v>
      </c>
      <c r="F16" s="58" t="s">
        <v>520</v>
      </c>
      <c r="I16" s="7">
        <v>7</v>
      </c>
      <c r="J16" s="8" t="s">
        <v>79</v>
      </c>
      <c r="K16" s="41"/>
      <c r="L16" s="41">
        <v>1000000</v>
      </c>
      <c r="M16" s="7">
        <f t="shared" si="1"/>
        <v>3000000</v>
      </c>
      <c r="N16" s="7"/>
    </row>
    <row r="17" spans="1:16" ht="15.6" x14ac:dyDescent="0.3">
      <c r="A17" s="178">
        <v>6000000</v>
      </c>
      <c r="B17" s="56"/>
      <c r="C17" s="3">
        <f t="shared" si="0"/>
        <v>-13500000</v>
      </c>
      <c r="D17" s="57" t="s">
        <v>485</v>
      </c>
      <c r="E17" s="35">
        <v>46164.155023148145</v>
      </c>
      <c r="F17" s="58"/>
      <c r="I17" s="7">
        <v>8</v>
      </c>
      <c r="J17" s="8" t="s">
        <v>195</v>
      </c>
      <c r="K17" s="41"/>
      <c r="L17" s="41">
        <v>1000000</v>
      </c>
      <c r="M17" s="7">
        <f t="shared" si="1"/>
        <v>2000000</v>
      </c>
      <c r="N17" s="7"/>
    </row>
    <row r="18" spans="1:16" ht="15.6" x14ac:dyDescent="0.3">
      <c r="A18" s="178">
        <v>500000</v>
      </c>
      <c r="B18" s="56"/>
      <c r="C18" s="3">
        <f t="shared" si="0"/>
        <v>-13000000</v>
      </c>
      <c r="D18" s="243" t="s">
        <v>28</v>
      </c>
      <c r="E18" s="35">
        <v>46168.072384259256</v>
      </c>
      <c r="F18" s="58"/>
      <c r="I18" s="7">
        <v>9</v>
      </c>
      <c r="J18" s="8" t="s">
        <v>196</v>
      </c>
      <c r="K18" s="41"/>
      <c r="L18" s="41">
        <v>1000000</v>
      </c>
      <c r="M18" s="7">
        <f t="shared" si="1"/>
        <v>1000000</v>
      </c>
      <c r="N18" s="7"/>
    </row>
    <row r="19" spans="1:16" ht="15.6" x14ac:dyDescent="0.3">
      <c r="A19" s="178">
        <v>6000000</v>
      </c>
      <c r="B19" s="56"/>
      <c r="C19" s="3">
        <f t="shared" si="0"/>
        <v>-7000000</v>
      </c>
      <c r="D19" s="243" t="s">
        <v>28</v>
      </c>
      <c r="E19" s="35">
        <v>46266</v>
      </c>
      <c r="F19" s="58"/>
      <c r="I19" s="7">
        <v>10</v>
      </c>
      <c r="J19" s="8" t="s">
        <v>197</v>
      </c>
      <c r="K19" s="41"/>
      <c r="L19" s="41">
        <v>1000000</v>
      </c>
      <c r="M19" s="7">
        <f t="shared" si="1"/>
        <v>0</v>
      </c>
      <c r="N19" s="7"/>
    </row>
    <row r="20" spans="1:16" ht="15.6" x14ac:dyDescent="0.3">
      <c r="A20" s="178">
        <v>3000000</v>
      </c>
      <c r="B20" s="56"/>
      <c r="C20" s="3">
        <f t="shared" si="0"/>
        <v>-4000000</v>
      </c>
      <c r="D20" s="8" t="s">
        <v>574</v>
      </c>
      <c r="E20" s="8">
        <v>46308</v>
      </c>
      <c r="F20" s="58"/>
      <c r="I20" s="7"/>
      <c r="J20" s="8"/>
      <c r="K20" s="41"/>
      <c r="L20" s="41"/>
      <c r="M20" s="7">
        <f t="shared" si="1"/>
        <v>0</v>
      </c>
      <c r="N20" s="7"/>
    </row>
    <row r="21" spans="1:16" ht="15.6" x14ac:dyDescent="0.3">
      <c r="A21" s="178"/>
      <c r="B21" s="56"/>
      <c r="C21" s="3">
        <f t="shared" si="0"/>
        <v>-4000000</v>
      </c>
      <c r="D21" s="8"/>
      <c r="E21" s="8"/>
      <c r="F21" s="58"/>
      <c r="I21" s="7"/>
      <c r="J21" s="8"/>
      <c r="K21" s="41"/>
      <c r="L21" s="41"/>
      <c r="M21" s="7">
        <f t="shared" si="1"/>
        <v>0</v>
      </c>
      <c r="N21" s="7"/>
    </row>
    <row r="22" spans="1:16" ht="15.6" x14ac:dyDescent="0.3">
      <c r="A22" s="178"/>
      <c r="B22" s="56"/>
      <c r="C22" s="3">
        <f t="shared" si="0"/>
        <v>-4000000</v>
      </c>
      <c r="D22" s="8"/>
      <c r="E22" s="8"/>
      <c r="F22" s="58"/>
      <c r="I22" s="7"/>
      <c r="J22" s="8"/>
      <c r="K22" s="41"/>
      <c r="L22" s="41"/>
      <c r="M22" s="7">
        <f t="shared" si="1"/>
        <v>0</v>
      </c>
      <c r="N22" s="7"/>
    </row>
    <row r="23" spans="1:16" ht="15.6" x14ac:dyDescent="0.3">
      <c r="A23" s="178"/>
      <c r="B23" s="56"/>
      <c r="C23" s="3">
        <f t="shared" si="0"/>
        <v>-4000000</v>
      </c>
      <c r="D23" s="8"/>
      <c r="E23" s="8"/>
      <c r="F23" s="58"/>
      <c r="I23" s="1"/>
      <c r="J23" s="2"/>
      <c r="K23" s="79"/>
      <c r="L23" s="79"/>
      <c r="M23" s="1"/>
      <c r="N23" s="1"/>
    </row>
    <row r="24" spans="1:16" ht="15.6" x14ac:dyDescent="0.3">
      <c r="A24" s="178"/>
      <c r="B24" s="56"/>
      <c r="C24" s="3">
        <f t="shared" si="0"/>
        <v>-4000000</v>
      </c>
      <c r="D24" s="8"/>
      <c r="E24" s="8"/>
      <c r="F24" s="58"/>
      <c r="I24" s="1"/>
      <c r="J24" s="2"/>
      <c r="K24" s="79"/>
      <c r="L24" s="79"/>
      <c r="M24" s="1"/>
      <c r="N24" s="1"/>
    </row>
    <row r="25" spans="1:16" ht="15.6" x14ac:dyDescent="0.3">
      <c r="A25" s="178"/>
      <c r="B25" s="56"/>
      <c r="C25" s="3">
        <f t="shared" si="0"/>
        <v>-4000000</v>
      </c>
      <c r="D25" s="8"/>
      <c r="E25" s="8"/>
      <c r="F25" s="58"/>
      <c r="I25" s="1"/>
      <c r="J25" s="2"/>
      <c r="K25" s="79"/>
      <c r="L25" s="79"/>
      <c r="M25" s="1"/>
      <c r="N25" s="1"/>
      <c r="P25">
        <v>1550000</v>
      </c>
    </row>
    <row r="26" spans="1:16" ht="15.6" x14ac:dyDescent="0.3">
      <c r="A26" s="178"/>
      <c r="B26" s="56"/>
      <c r="C26" s="3">
        <f t="shared" si="0"/>
        <v>-4000000</v>
      </c>
      <c r="D26" s="8"/>
      <c r="E26" s="8"/>
      <c r="F26" s="58"/>
      <c r="I26" s="1"/>
      <c r="J26" s="2"/>
      <c r="K26" s="79"/>
      <c r="L26" s="79"/>
      <c r="M26" s="1"/>
      <c r="N26" s="1"/>
    </row>
    <row r="27" spans="1:16" ht="15.6" x14ac:dyDescent="0.3">
      <c r="A27" s="178"/>
      <c r="B27" s="56"/>
      <c r="C27" s="3">
        <f t="shared" si="0"/>
        <v>-4000000</v>
      </c>
      <c r="D27" s="8"/>
      <c r="E27" s="8"/>
      <c r="F27" s="58"/>
    </row>
    <row r="28" spans="1:16" ht="15.6" x14ac:dyDescent="0.3">
      <c r="A28" s="178"/>
      <c r="B28" s="56"/>
      <c r="C28" s="3">
        <f t="shared" si="0"/>
        <v>-4000000</v>
      </c>
      <c r="D28" s="8"/>
      <c r="E28" s="8"/>
      <c r="F28" s="58"/>
    </row>
    <row r="29" spans="1:16" ht="15.6" x14ac:dyDescent="0.3">
      <c r="A29" s="178"/>
      <c r="B29" s="56"/>
      <c r="C29" s="3">
        <f t="shared" si="0"/>
        <v>-4000000</v>
      </c>
      <c r="D29" s="8"/>
      <c r="E29" s="8"/>
      <c r="F29" s="58"/>
    </row>
    <row r="30" spans="1:16" ht="15.6" x14ac:dyDescent="0.3">
      <c r="A30" s="178"/>
      <c r="B30" s="56"/>
      <c r="C30" s="3">
        <f t="shared" si="0"/>
        <v>-4000000</v>
      </c>
      <c r="D30" s="8"/>
      <c r="E30" s="8"/>
      <c r="F30" s="58"/>
      <c r="I30" s="6"/>
      <c r="J30" s="5" t="s">
        <v>37</v>
      </c>
      <c r="K30" s="6" t="s">
        <v>198</v>
      </c>
      <c r="L30" s="272" t="s">
        <v>194</v>
      </c>
      <c r="M30" s="272"/>
      <c r="N30" s="272"/>
    </row>
    <row r="31" spans="1:16" ht="15.6" x14ac:dyDescent="0.3">
      <c r="A31" s="178"/>
      <c r="B31" s="56"/>
      <c r="C31" s="3">
        <f t="shared" si="0"/>
        <v>-4000000</v>
      </c>
      <c r="D31" s="8"/>
      <c r="E31" s="8"/>
      <c r="F31" s="58"/>
      <c r="I31" s="7" t="s">
        <v>40</v>
      </c>
      <c r="J31" s="7" t="s">
        <v>6</v>
      </c>
      <c r="K31" s="41" t="s">
        <v>41</v>
      </c>
      <c r="L31" s="41" t="s">
        <v>42</v>
      </c>
      <c r="M31" s="7" t="s">
        <v>43</v>
      </c>
      <c r="N31" s="7" t="s">
        <v>7</v>
      </c>
    </row>
    <row r="32" spans="1:16" ht="15.6" x14ac:dyDescent="0.3">
      <c r="A32" s="178"/>
      <c r="B32" s="56"/>
      <c r="C32" s="3">
        <f t="shared" si="0"/>
        <v>-4000000</v>
      </c>
      <c r="D32" s="8"/>
      <c r="E32" s="8"/>
      <c r="F32" s="58"/>
      <c r="I32" s="7"/>
      <c r="J32" s="7"/>
      <c r="K32" s="41">
        <f>13000000+5500000</f>
        <v>18500000</v>
      </c>
      <c r="L32" s="41"/>
      <c r="M32" s="7">
        <f>K32-L32</f>
        <v>18500000</v>
      </c>
      <c r="N32" s="7" t="s">
        <v>199</v>
      </c>
    </row>
    <row r="33" spans="1:14" ht="15.6" x14ac:dyDescent="0.3">
      <c r="A33" s="178"/>
      <c r="B33" s="56"/>
      <c r="C33" s="3">
        <f t="shared" si="0"/>
        <v>-4000000</v>
      </c>
      <c r="D33" s="8"/>
      <c r="E33" s="8"/>
      <c r="F33" s="58"/>
      <c r="I33" s="7"/>
      <c r="J33" s="8"/>
      <c r="K33" s="41"/>
      <c r="L33" s="41"/>
      <c r="M33" s="7">
        <f>M32-L33</f>
        <v>18500000</v>
      </c>
      <c r="N33" s="58" t="s">
        <v>200</v>
      </c>
    </row>
    <row r="34" spans="1:14" ht="15.6" x14ac:dyDescent="0.3">
      <c r="A34" s="178"/>
      <c r="B34" s="56"/>
      <c r="C34" s="3">
        <f t="shared" si="0"/>
        <v>-4000000</v>
      </c>
      <c r="D34" s="7"/>
      <c r="E34" s="8"/>
      <c r="F34" s="58"/>
      <c r="I34" s="7"/>
      <c r="J34" s="46"/>
      <c r="K34" s="47"/>
      <c r="L34" s="47">
        <v>3000000</v>
      </c>
      <c r="M34" s="48">
        <f t="shared" ref="M34:M46" si="2">M33-L34</f>
        <v>15500000</v>
      </c>
      <c r="N34" s="48" t="s">
        <v>201</v>
      </c>
    </row>
    <row r="35" spans="1:14" ht="15.6" x14ac:dyDescent="0.3">
      <c r="A35" s="178"/>
      <c r="B35" s="56"/>
      <c r="C35" s="3">
        <f t="shared" si="0"/>
        <v>-4000000</v>
      </c>
      <c r="D35" s="7"/>
      <c r="E35" s="8"/>
      <c r="F35" s="58"/>
      <c r="I35" s="7"/>
      <c r="J35" s="46"/>
      <c r="K35" s="47"/>
      <c r="L35" s="47">
        <v>1500000</v>
      </c>
      <c r="M35" s="48">
        <f t="shared" si="2"/>
        <v>14000000</v>
      </c>
      <c r="N35" s="48" t="s">
        <v>202</v>
      </c>
    </row>
    <row r="36" spans="1:14" ht="15.6" x14ac:dyDescent="0.3">
      <c r="A36" s="178"/>
      <c r="B36" s="56"/>
      <c r="C36" s="3">
        <f>IF(A36&gt;0,C35+A36-B36,C35-B36)</f>
        <v>-4000000</v>
      </c>
      <c r="D36" s="7"/>
      <c r="E36" s="8"/>
      <c r="F36" s="58"/>
      <c r="I36" s="7">
        <v>1</v>
      </c>
      <c r="J36" s="46">
        <v>46143</v>
      </c>
      <c r="K36" s="47"/>
      <c r="L36" s="47">
        <v>2000000</v>
      </c>
      <c r="M36" s="48">
        <f t="shared" si="2"/>
        <v>12000000</v>
      </c>
      <c r="N36" s="48" t="s">
        <v>136</v>
      </c>
    </row>
    <row r="37" spans="1:14" ht="15.6" x14ac:dyDescent="0.3">
      <c r="A37" s="178"/>
      <c r="B37" s="56"/>
      <c r="C37" s="3">
        <f t="shared" si="0"/>
        <v>-4000000</v>
      </c>
      <c r="D37" s="7"/>
      <c r="E37" s="8"/>
      <c r="F37" s="58"/>
      <c r="I37" s="7">
        <v>2</v>
      </c>
      <c r="J37" s="46">
        <v>46144</v>
      </c>
      <c r="K37" s="47"/>
      <c r="L37" s="47">
        <v>1500000</v>
      </c>
      <c r="M37" s="48">
        <f t="shared" si="2"/>
        <v>10500000</v>
      </c>
      <c r="N37" s="48" t="s">
        <v>136</v>
      </c>
    </row>
    <row r="38" spans="1:14" ht="15.6" x14ac:dyDescent="0.3">
      <c r="A38" s="178"/>
      <c r="B38" s="56"/>
      <c r="C38" s="3">
        <f t="shared" si="0"/>
        <v>-4000000</v>
      </c>
      <c r="D38" s="7"/>
      <c r="E38" s="8"/>
      <c r="F38" s="58"/>
      <c r="I38" s="7">
        <v>3</v>
      </c>
      <c r="J38" s="46">
        <v>46145</v>
      </c>
      <c r="K38" s="47"/>
      <c r="L38" s="47">
        <v>1500000</v>
      </c>
      <c r="M38" s="48">
        <f t="shared" si="2"/>
        <v>9000000</v>
      </c>
      <c r="N38" s="48" t="s">
        <v>136</v>
      </c>
    </row>
    <row r="39" spans="1:14" ht="15.6" x14ac:dyDescent="0.3">
      <c r="A39" s="178"/>
      <c r="B39" s="56"/>
      <c r="C39" s="3">
        <f t="shared" si="0"/>
        <v>-4000000</v>
      </c>
      <c r="D39" s="7"/>
      <c r="E39" s="8"/>
      <c r="F39" s="58"/>
      <c r="I39" s="7">
        <v>4</v>
      </c>
      <c r="J39" s="46">
        <v>46146</v>
      </c>
      <c r="K39" s="47"/>
      <c r="L39" s="47">
        <v>1500000</v>
      </c>
      <c r="M39" s="48">
        <f t="shared" si="2"/>
        <v>7500000</v>
      </c>
      <c r="N39" s="48" t="s">
        <v>136</v>
      </c>
    </row>
    <row r="40" spans="1:14" ht="15.6" x14ac:dyDescent="0.3">
      <c r="A40" s="178"/>
      <c r="B40" s="56"/>
      <c r="C40" s="3">
        <f t="shared" si="0"/>
        <v>-4000000</v>
      </c>
      <c r="D40" s="7"/>
      <c r="E40" s="8"/>
      <c r="F40" s="58"/>
      <c r="I40" s="7">
        <v>5</v>
      </c>
      <c r="J40" s="8">
        <v>46147</v>
      </c>
      <c r="K40" s="41"/>
      <c r="L40" s="41">
        <v>1500000</v>
      </c>
      <c r="M40" s="7">
        <f t="shared" si="2"/>
        <v>6000000</v>
      </c>
      <c r="N40" s="58"/>
    </row>
    <row r="41" spans="1:14" ht="15.6" x14ac:dyDescent="0.3">
      <c r="A41" s="178"/>
      <c r="B41" s="56"/>
      <c r="C41" s="3">
        <f>IF(A41&gt;0,C40+A41-B41,C40-B41)</f>
        <v>-4000000</v>
      </c>
      <c r="D41" s="7"/>
      <c r="E41" s="8"/>
      <c r="F41" s="58"/>
      <c r="I41" s="7">
        <v>6</v>
      </c>
      <c r="J41" s="8">
        <v>46148</v>
      </c>
      <c r="K41" s="41"/>
      <c r="L41" s="41">
        <v>1500000</v>
      </c>
      <c r="M41" s="7">
        <f t="shared" si="2"/>
        <v>4500000</v>
      </c>
      <c r="N41" s="58"/>
    </row>
    <row r="42" spans="1:14" ht="15.6" x14ac:dyDescent="0.3">
      <c r="A42" s="178"/>
      <c r="B42" s="56"/>
      <c r="C42" s="3">
        <f t="shared" si="0"/>
        <v>-4000000</v>
      </c>
      <c r="D42" s="7"/>
      <c r="E42" s="8"/>
      <c r="F42" s="58"/>
      <c r="I42" s="7">
        <v>7</v>
      </c>
      <c r="J42" s="8">
        <v>46149</v>
      </c>
      <c r="K42" s="41"/>
      <c r="L42" s="41">
        <v>1500000</v>
      </c>
      <c r="M42" s="7">
        <f t="shared" si="2"/>
        <v>3000000</v>
      </c>
      <c r="N42" s="58"/>
    </row>
    <row r="43" spans="1:14" ht="15.6" x14ac:dyDescent="0.3">
      <c r="A43" s="178"/>
      <c r="B43" s="56"/>
      <c r="C43" s="3">
        <f t="shared" si="0"/>
        <v>-4000000</v>
      </c>
      <c r="D43" s="7"/>
      <c r="E43" s="8"/>
      <c r="F43" s="58"/>
      <c r="I43" s="7">
        <v>8</v>
      </c>
      <c r="J43" s="8">
        <v>46150</v>
      </c>
      <c r="K43" s="41"/>
      <c r="L43" s="41">
        <v>1000000</v>
      </c>
      <c r="M43" s="7">
        <f t="shared" si="2"/>
        <v>2000000</v>
      </c>
      <c r="N43" s="58"/>
    </row>
    <row r="44" spans="1:14" ht="15.6" x14ac:dyDescent="0.3">
      <c r="A44" s="178"/>
      <c r="B44" s="56"/>
      <c r="C44" s="3">
        <f t="shared" si="0"/>
        <v>-4000000</v>
      </c>
      <c r="D44" s="7"/>
      <c r="E44" s="8"/>
      <c r="F44" s="58"/>
      <c r="I44" s="7">
        <v>9</v>
      </c>
      <c r="J44" s="8">
        <v>46151</v>
      </c>
      <c r="K44" s="41"/>
      <c r="L44" s="41">
        <v>1000000</v>
      </c>
      <c r="M44" s="7">
        <f t="shared" si="2"/>
        <v>1000000</v>
      </c>
      <c r="N44" s="58"/>
    </row>
    <row r="45" spans="1:14" ht="15.6" x14ac:dyDescent="0.3">
      <c r="A45" s="178"/>
      <c r="B45" s="56"/>
      <c r="C45" s="3">
        <f t="shared" si="0"/>
        <v>-4000000</v>
      </c>
      <c r="D45" s="7"/>
      <c r="E45" s="8"/>
      <c r="F45" s="58"/>
      <c r="I45" s="7">
        <v>10</v>
      </c>
      <c r="J45" s="8">
        <v>46152</v>
      </c>
      <c r="K45" s="41"/>
      <c r="L45" s="41">
        <v>1000000</v>
      </c>
      <c r="M45" s="7">
        <f t="shared" si="2"/>
        <v>0</v>
      </c>
      <c r="N45" s="58"/>
    </row>
    <row r="46" spans="1:14" ht="15.6" x14ac:dyDescent="0.3">
      <c r="A46" s="178"/>
      <c r="B46" s="56"/>
      <c r="C46" s="3">
        <f t="shared" si="0"/>
        <v>-4000000</v>
      </c>
      <c r="D46" s="7"/>
      <c r="E46" s="8"/>
      <c r="F46" s="58"/>
      <c r="I46" s="7"/>
      <c r="J46" s="8"/>
      <c r="K46" s="41"/>
      <c r="L46" s="41"/>
      <c r="M46" s="7">
        <f t="shared" si="2"/>
        <v>0</v>
      </c>
      <c r="N46" s="7"/>
    </row>
    <row r="47" spans="1:14" ht="15.6" x14ac:dyDescent="0.3">
      <c r="A47" s="178"/>
      <c r="B47" s="56"/>
      <c r="C47" s="3">
        <f t="shared" si="0"/>
        <v>-4000000</v>
      </c>
      <c r="D47" s="7"/>
      <c r="E47" s="8"/>
      <c r="F47" s="58"/>
    </row>
    <row r="48" spans="1:14" ht="15.6" x14ac:dyDescent="0.3">
      <c r="A48" s="178"/>
      <c r="B48" s="56"/>
      <c r="C48" s="3">
        <f t="shared" si="0"/>
        <v>-4000000</v>
      </c>
      <c r="D48" s="7"/>
      <c r="E48" s="8"/>
      <c r="F48" s="58"/>
    </row>
    <row r="49" spans="1:6" ht="15.6" x14ac:dyDescent="0.3">
      <c r="A49" s="178"/>
      <c r="B49" s="56"/>
      <c r="C49" s="3">
        <f t="shared" si="0"/>
        <v>-4000000</v>
      </c>
      <c r="D49" s="7"/>
      <c r="E49" s="8"/>
      <c r="F49" s="58"/>
    </row>
    <row r="50" spans="1:6" ht="15.6" x14ac:dyDescent="0.3">
      <c r="A50" s="178"/>
      <c r="B50" s="56"/>
      <c r="C50" s="3">
        <f t="shared" si="0"/>
        <v>-4000000</v>
      </c>
      <c r="D50" s="7"/>
      <c r="E50" s="8"/>
      <c r="F50" s="58"/>
    </row>
    <row r="51" spans="1:6" ht="15.6" x14ac:dyDescent="0.3">
      <c r="A51" s="178"/>
      <c r="B51" s="56"/>
      <c r="C51" s="3">
        <f t="shared" si="0"/>
        <v>-4000000</v>
      </c>
      <c r="D51" s="7"/>
      <c r="E51" s="8"/>
      <c r="F51" s="58"/>
    </row>
    <row r="52" spans="1:6" ht="15.6" x14ac:dyDescent="0.3">
      <c r="A52" s="178"/>
      <c r="B52" s="56"/>
      <c r="C52" s="3">
        <f t="shared" si="0"/>
        <v>-4000000</v>
      </c>
      <c r="D52" s="7"/>
      <c r="E52" s="8"/>
      <c r="F52" s="58"/>
    </row>
    <row r="53" spans="1:6" ht="15.6" x14ac:dyDescent="0.3">
      <c r="A53" s="178"/>
      <c r="B53" s="56"/>
      <c r="C53" s="3">
        <f t="shared" si="0"/>
        <v>-4000000</v>
      </c>
      <c r="D53" s="7"/>
      <c r="E53" s="8"/>
      <c r="F53" s="58"/>
    </row>
    <row r="54" spans="1:6" ht="15.6" x14ac:dyDescent="0.3">
      <c r="A54" s="178"/>
      <c r="B54" s="56"/>
      <c r="C54" s="3">
        <f t="shared" si="0"/>
        <v>-4000000</v>
      </c>
      <c r="D54" s="7"/>
      <c r="E54" s="8"/>
      <c r="F54" s="58"/>
    </row>
    <row r="55" spans="1:6" ht="15.6" x14ac:dyDescent="0.3">
      <c r="A55" s="178"/>
      <c r="B55" s="56"/>
      <c r="C55" s="3">
        <f t="shared" si="0"/>
        <v>-4000000</v>
      </c>
      <c r="D55" s="7"/>
      <c r="E55" s="8"/>
      <c r="F55" s="58"/>
    </row>
    <row r="56" spans="1:6" ht="15.6" x14ac:dyDescent="0.3">
      <c r="A56" s="178"/>
      <c r="B56" s="56"/>
      <c r="C56" s="3">
        <f t="shared" si="0"/>
        <v>-4000000</v>
      </c>
      <c r="D56" s="7"/>
      <c r="E56" s="8"/>
      <c r="F56" s="58"/>
    </row>
    <row r="57" spans="1:6" ht="15.6" x14ac:dyDescent="0.3">
      <c r="A57" s="178"/>
      <c r="B57" s="56"/>
      <c r="C57" s="3">
        <f t="shared" si="0"/>
        <v>-4000000</v>
      </c>
      <c r="D57" s="7"/>
      <c r="E57" s="8"/>
      <c r="F57" s="58"/>
    </row>
    <row r="58" spans="1:6" ht="15.6" x14ac:dyDescent="0.3">
      <c r="A58" s="178"/>
      <c r="B58" s="56"/>
      <c r="C58" s="3">
        <f t="shared" si="0"/>
        <v>-4000000</v>
      </c>
      <c r="D58" s="7"/>
      <c r="E58" s="8"/>
      <c r="F58" s="58"/>
    </row>
    <row r="59" spans="1:6" ht="15.6" x14ac:dyDescent="0.3">
      <c r="A59" s="178"/>
      <c r="B59" s="56"/>
      <c r="C59" s="3">
        <f t="shared" si="0"/>
        <v>-4000000</v>
      </c>
      <c r="D59" s="7"/>
      <c r="E59" s="8"/>
      <c r="F59" s="58"/>
    </row>
    <row r="60" spans="1:6" ht="15.6" x14ac:dyDescent="0.3">
      <c r="A60" s="178"/>
      <c r="B60" s="56"/>
      <c r="C60" s="3">
        <f t="shared" si="0"/>
        <v>-4000000</v>
      </c>
      <c r="D60" s="7"/>
      <c r="E60" s="8"/>
      <c r="F60" s="58"/>
    </row>
    <row r="61" spans="1:6" ht="15.6" x14ac:dyDescent="0.3">
      <c r="A61" s="178"/>
      <c r="B61" s="56"/>
      <c r="C61" s="3">
        <f t="shared" si="0"/>
        <v>-4000000</v>
      </c>
      <c r="D61" s="7"/>
      <c r="E61" s="8"/>
      <c r="F61" s="58"/>
    </row>
    <row r="62" spans="1:6" ht="15.6" x14ac:dyDescent="0.3">
      <c r="A62" s="178"/>
      <c r="B62" s="56"/>
      <c r="C62" s="3">
        <f t="shared" si="0"/>
        <v>-4000000</v>
      </c>
      <c r="D62" s="7"/>
      <c r="E62" s="8"/>
      <c r="F62" s="58"/>
    </row>
    <row r="63" spans="1:6" ht="15.6" x14ac:dyDescent="0.3">
      <c r="A63" s="178"/>
      <c r="B63" s="56"/>
      <c r="C63" s="3">
        <f t="shared" si="0"/>
        <v>-4000000</v>
      </c>
      <c r="D63" s="7"/>
      <c r="E63" s="8"/>
      <c r="F63" s="58"/>
    </row>
    <row r="64" spans="1:6" ht="15.6" x14ac:dyDescent="0.3">
      <c r="A64" s="178"/>
      <c r="B64" s="56"/>
      <c r="C64" s="3">
        <f t="shared" si="0"/>
        <v>-4000000</v>
      </c>
      <c r="D64" s="7"/>
      <c r="E64" s="8"/>
      <c r="F64" s="58"/>
    </row>
    <row r="65" spans="1:6" ht="15.6" x14ac:dyDescent="0.3">
      <c r="A65" s="178"/>
      <c r="B65" s="56"/>
      <c r="C65" s="3">
        <f t="shared" si="0"/>
        <v>-4000000</v>
      </c>
      <c r="D65" s="7"/>
      <c r="E65" s="8"/>
      <c r="F65" s="58"/>
    </row>
    <row r="66" spans="1:6" ht="15.6" x14ac:dyDescent="0.3">
      <c r="A66" s="178"/>
      <c r="B66" s="56"/>
      <c r="C66" s="3">
        <f t="shared" si="0"/>
        <v>-4000000</v>
      </c>
      <c r="D66" s="7"/>
      <c r="E66" s="8"/>
      <c r="F66" s="58"/>
    </row>
    <row r="67" spans="1:6" ht="15.6" x14ac:dyDescent="0.3">
      <c r="A67" s="178"/>
      <c r="B67" s="56"/>
      <c r="C67" s="3">
        <f t="shared" si="0"/>
        <v>-4000000</v>
      </c>
      <c r="D67" s="7"/>
      <c r="E67" s="8"/>
      <c r="F67" s="58"/>
    </row>
    <row r="68" spans="1:6" ht="15.6" x14ac:dyDescent="0.3">
      <c r="A68" s="178"/>
      <c r="B68" s="56"/>
      <c r="C68" s="3">
        <f t="shared" si="0"/>
        <v>-4000000</v>
      </c>
      <c r="D68" s="7"/>
      <c r="E68" s="8"/>
      <c r="F68" s="58"/>
    </row>
    <row r="69" spans="1:6" ht="15.6" x14ac:dyDescent="0.3">
      <c r="A69" s="178"/>
      <c r="B69" s="56"/>
      <c r="C69" s="3">
        <f t="shared" si="0"/>
        <v>-4000000</v>
      </c>
      <c r="D69" s="7"/>
      <c r="E69" s="8"/>
      <c r="F69" s="58"/>
    </row>
    <row r="70" spans="1:6" ht="15.6" x14ac:dyDescent="0.3">
      <c r="A70" s="178"/>
      <c r="B70" s="56"/>
      <c r="C70" s="3">
        <f t="shared" si="0"/>
        <v>-4000000</v>
      </c>
      <c r="D70" s="7"/>
      <c r="E70" s="8"/>
      <c r="F70" s="58"/>
    </row>
    <row r="71" spans="1:6" ht="15.6" x14ac:dyDescent="0.3">
      <c r="A71" s="178"/>
      <c r="B71" s="56"/>
      <c r="C71" s="3">
        <f t="shared" si="0"/>
        <v>-4000000</v>
      </c>
      <c r="D71" s="7"/>
      <c r="E71" s="8"/>
      <c r="F71" s="58"/>
    </row>
    <row r="72" spans="1:6" ht="15.6" x14ac:dyDescent="0.3">
      <c r="A72" s="178"/>
      <c r="B72" s="56"/>
      <c r="C72" s="3">
        <f t="shared" si="0"/>
        <v>-4000000</v>
      </c>
      <c r="D72" s="7"/>
      <c r="E72" s="8"/>
      <c r="F72" s="58"/>
    </row>
    <row r="73" spans="1:6" ht="15.6" x14ac:dyDescent="0.3">
      <c r="A73" s="178"/>
      <c r="B73" s="56"/>
      <c r="C73" s="3">
        <f t="shared" si="0"/>
        <v>-4000000</v>
      </c>
      <c r="D73" s="7"/>
      <c r="E73" s="8"/>
      <c r="F73" s="58"/>
    </row>
    <row r="74" spans="1:6" ht="15.6" x14ac:dyDescent="0.3">
      <c r="A74" s="178"/>
      <c r="B74" s="56"/>
      <c r="C74" s="3">
        <f t="shared" si="0"/>
        <v>-4000000</v>
      </c>
      <c r="D74" s="7"/>
      <c r="E74" s="8"/>
      <c r="F74" s="58"/>
    </row>
    <row r="75" spans="1:6" ht="15.6" x14ac:dyDescent="0.3">
      <c r="A75" s="178"/>
      <c r="B75" s="56"/>
      <c r="C75" s="3">
        <f t="shared" si="0"/>
        <v>-4000000</v>
      </c>
      <c r="D75" s="52"/>
      <c r="E75" s="8"/>
      <c r="F75" s="58"/>
    </row>
    <row r="76" spans="1:6" ht="15.6" x14ac:dyDescent="0.3">
      <c r="A76" s="178"/>
      <c r="B76" s="56"/>
      <c r="C76" s="3">
        <f t="shared" si="0"/>
        <v>-4000000</v>
      </c>
      <c r="D76" s="7"/>
      <c r="E76" s="8"/>
      <c r="F76" s="58"/>
    </row>
    <row r="77" spans="1:6" ht="15.6" x14ac:dyDescent="0.3">
      <c r="A77" s="178"/>
      <c r="B77" s="56"/>
      <c r="C77" s="3">
        <f t="shared" si="0"/>
        <v>-4000000</v>
      </c>
      <c r="D77" s="7"/>
      <c r="E77" s="8"/>
      <c r="F77" s="58"/>
    </row>
    <row r="78" spans="1:6" ht="15.6" x14ac:dyDescent="0.3">
      <c r="A78" s="178"/>
      <c r="B78" s="56"/>
      <c r="C78" s="3">
        <f t="shared" ref="C78:C141" si="3">IF(A78&gt;0,C77+A78-B78,C77-B78)</f>
        <v>-4000000</v>
      </c>
      <c r="D78" s="7"/>
      <c r="E78" s="8"/>
      <c r="F78" s="58"/>
    </row>
    <row r="79" spans="1:6" ht="15.6" x14ac:dyDescent="0.3">
      <c r="A79" s="178"/>
      <c r="B79" s="56"/>
      <c r="C79" s="3">
        <f t="shared" si="3"/>
        <v>-4000000</v>
      </c>
      <c r="D79" s="7"/>
      <c r="E79" s="8"/>
      <c r="F79" s="58"/>
    </row>
    <row r="80" spans="1:6" ht="15.6" x14ac:dyDescent="0.3">
      <c r="A80" s="178"/>
      <c r="B80" s="56"/>
      <c r="C80" s="3">
        <f t="shared" si="3"/>
        <v>-4000000</v>
      </c>
      <c r="D80" s="7"/>
      <c r="E80" s="8"/>
      <c r="F80" s="58"/>
    </row>
    <row r="81" spans="1:6" ht="15.6" x14ac:dyDescent="0.3">
      <c r="A81" s="178"/>
      <c r="B81" s="56"/>
      <c r="C81" s="3">
        <f t="shared" si="3"/>
        <v>-4000000</v>
      </c>
      <c r="D81" s="7"/>
      <c r="E81" s="8"/>
      <c r="F81" s="58"/>
    </row>
    <row r="82" spans="1:6" ht="15.6" x14ac:dyDescent="0.3">
      <c r="A82" s="178"/>
      <c r="B82" s="56"/>
      <c r="C82" s="3">
        <f t="shared" si="3"/>
        <v>-4000000</v>
      </c>
      <c r="D82" s="7"/>
      <c r="E82" s="8"/>
      <c r="F82" s="58"/>
    </row>
    <row r="83" spans="1:6" ht="15.6" x14ac:dyDescent="0.3">
      <c r="A83" s="178"/>
      <c r="B83" s="56"/>
      <c r="C83" s="3">
        <f t="shared" si="3"/>
        <v>-4000000</v>
      </c>
      <c r="D83" s="7"/>
      <c r="E83" s="8"/>
      <c r="F83" s="58"/>
    </row>
    <row r="84" spans="1:6" ht="15.6" x14ac:dyDescent="0.3">
      <c r="A84" s="178"/>
      <c r="B84" s="56"/>
      <c r="C84" s="3">
        <f t="shared" si="3"/>
        <v>-4000000</v>
      </c>
      <c r="D84" s="7"/>
      <c r="E84" s="8"/>
      <c r="F84" s="58"/>
    </row>
    <row r="85" spans="1:6" ht="15.6" x14ac:dyDescent="0.3">
      <c r="A85" s="178"/>
      <c r="B85" s="56"/>
      <c r="C85" s="3">
        <f t="shared" si="3"/>
        <v>-4000000</v>
      </c>
      <c r="D85" s="7"/>
      <c r="E85" s="8"/>
      <c r="F85" s="58"/>
    </row>
    <row r="86" spans="1:6" ht="15.6" x14ac:dyDescent="0.3">
      <c r="A86" s="178"/>
      <c r="B86" s="56"/>
      <c r="C86" s="3">
        <f t="shared" si="3"/>
        <v>-4000000</v>
      </c>
      <c r="D86" s="7"/>
      <c r="E86" s="8"/>
      <c r="F86" s="58"/>
    </row>
    <row r="87" spans="1:6" ht="15.6" x14ac:dyDescent="0.3">
      <c r="A87" s="178"/>
      <c r="B87" s="56"/>
      <c r="C87" s="3">
        <f t="shared" si="3"/>
        <v>-4000000</v>
      </c>
      <c r="D87" s="7"/>
      <c r="E87" s="8"/>
      <c r="F87" s="58"/>
    </row>
    <row r="88" spans="1:6" ht="15.6" x14ac:dyDescent="0.3">
      <c r="A88" s="178"/>
      <c r="B88" s="56"/>
      <c r="C88" s="3">
        <f t="shared" si="3"/>
        <v>-4000000</v>
      </c>
      <c r="D88" s="7"/>
      <c r="E88" s="8"/>
      <c r="F88" s="58"/>
    </row>
    <row r="89" spans="1:6" ht="15.6" x14ac:dyDescent="0.3">
      <c r="A89" s="178"/>
      <c r="B89" s="56"/>
      <c r="C89" s="3">
        <f t="shared" si="3"/>
        <v>-4000000</v>
      </c>
      <c r="D89" s="7"/>
      <c r="E89" s="8"/>
      <c r="F89" s="58"/>
    </row>
    <row r="90" spans="1:6" ht="15.6" x14ac:dyDescent="0.3">
      <c r="A90" s="178"/>
      <c r="B90" s="56"/>
      <c r="C90" s="3">
        <f t="shared" si="3"/>
        <v>-4000000</v>
      </c>
      <c r="D90" s="7"/>
      <c r="E90" s="8"/>
      <c r="F90" s="58"/>
    </row>
    <row r="91" spans="1:6" ht="15.6" x14ac:dyDescent="0.3">
      <c r="A91" s="178"/>
      <c r="B91" s="56"/>
      <c r="C91" s="3">
        <f t="shared" si="3"/>
        <v>-4000000</v>
      </c>
      <c r="D91" s="7"/>
      <c r="E91" s="8"/>
      <c r="F91" s="58"/>
    </row>
    <row r="92" spans="1:6" ht="15.6" x14ac:dyDescent="0.3">
      <c r="A92" s="178"/>
      <c r="B92" s="56"/>
      <c r="C92" s="3">
        <f t="shared" si="3"/>
        <v>-4000000</v>
      </c>
      <c r="D92" s="7"/>
      <c r="E92" s="8"/>
      <c r="F92" s="58"/>
    </row>
    <row r="93" spans="1:6" ht="15.6" x14ac:dyDescent="0.3">
      <c r="A93" s="178"/>
      <c r="B93" s="56"/>
      <c r="C93" s="3">
        <f t="shared" si="3"/>
        <v>-4000000</v>
      </c>
      <c r="D93" s="7"/>
      <c r="E93" s="8"/>
      <c r="F93" s="58"/>
    </row>
    <row r="94" spans="1:6" ht="15.6" x14ac:dyDescent="0.3">
      <c r="A94" s="178"/>
      <c r="B94" s="56"/>
      <c r="C94" s="3">
        <f t="shared" si="3"/>
        <v>-4000000</v>
      </c>
      <c r="D94" s="7"/>
      <c r="E94" s="8"/>
      <c r="F94" s="7"/>
    </row>
    <row r="95" spans="1:6" ht="15.6" x14ac:dyDescent="0.3">
      <c r="A95" s="178"/>
      <c r="B95" s="56"/>
      <c r="C95" s="3">
        <f t="shared" si="3"/>
        <v>-4000000</v>
      </c>
      <c r="D95" s="7"/>
      <c r="E95" s="8"/>
      <c r="F95" s="7"/>
    </row>
    <row r="96" spans="1:6" ht="15.6" x14ac:dyDescent="0.3">
      <c r="A96" s="178"/>
      <c r="B96" s="56"/>
      <c r="C96" s="3">
        <f t="shared" si="3"/>
        <v>-4000000</v>
      </c>
      <c r="D96" s="7"/>
      <c r="E96" s="8"/>
      <c r="F96" s="7"/>
    </row>
    <row r="97" spans="1:6" ht="15.6" x14ac:dyDescent="0.3">
      <c r="A97" s="178"/>
      <c r="B97" s="56"/>
      <c r="C97" s="3">
        <f t="shared" si="3"/>
        <v>-4000000</v>
      </c>
      <c r="D97" s="7"/>
      <c r="E97" s="8"/>
      <c r="F97" s="7"/>
    </row>
    <row r="98" spans="1:6" ht="15.6" x14ac:dyDescent="0.3">
      <c r="A98" s="178"/>
      <c r="B98" s="56"/>
      <c r="C98" s="3">
        <f t="shared" si="3"/>
        <v>-4000000</v>
      </c>
      <c r="D98" s="7"/>
      <c r="E98" s="8"/>
      <c r="F98" s="7"/>
    </row>
    <row r="99" spans="1:6" ht="15.6" x14ac:dyDescent="0.3">
      <c r="A99" s="178"/>
      <c r="B99" s="56"/>
      <c r="C99" s="3">
        <f t="shared" si="3"/>
        <v>-4000000</v>
      </c>
      <c r="D99" s="7"/>
      <c r="E99" s="8"/>
      <c r="F99" s="7"/>
    </row>
    <row r="100" spans="1:6" ht="15.6" x14ac:dyDescent="0.3">
      <c r="A100" s="178"/>
      <c r="B100" s="56"/>
      <c r="C100" s="3">
        <f t="shared" si="3"/>
        <v>-4000000</v>
      </c>
      <c r="D100" s="7"/>
      <c r="E100" s="8"/>
      <c r="F100" s="7"/>
    </row>
    <row r="101" spans="1:6" ht="15.6" x14ac:dyDescent="0.3">
      <c r="A101" s="178"/>
      <c r="B101" s="56"/>
      <c r="C101" s="3">
        <f t="shared" si="3"/>
        <v>-4000000</v>
      </c>
      <c r="D101" s="7"/>
      <c r="E101" s="8"/>
      <c r="F101" s="7"/>
    </row>
    <row r="102" spans="1:6" ht="15.6" x14ac:dyDescent="0.3">
      <c r="A102" s="178"/>
      <c r="B102" s="56"/>
      <c r="C102" s="3">
        <f t="shared" si="3"/>
        <v>-4000000</v>
      </c>
      <c r="D102" s="7"/>
      <c r="E102" s="8"/>
      <c r="F102" s="7"/>
    </row>
    <row r="103" spans="1:6" ht="15.6" x14ac:dyDescent="0.3">
      <c r="A103" s="178"/>
      <c r="B103" s="56"/>
      <c r="C103" s="3">
        <f t="shared" si="3"/>
        <v>-4000000</v>
      </c>
      <c r="D103" s="7"/>
      <c r="E103" s="8"/>
      <c r="F103" s="7"/>
    </row>
    <row r="104" spans="1:6" ht="15.6" x14ac:dyDescent="0.3">
      <c r="A104" s="178"/>
      <c r="B104" s="56"/>
      <c r="C104" s="3">
        <f t="shared" si="3"/>
        <v>-4000000</v>
      </c>
      <c r="D104" s="7"/>
      <c r="E104" s="8"/>
      <c r="F104" s="7"/>
    </row>
    <row r="105" spans="1:6" ht="15.6" x14ac:dyDescent="0.3">
      <c r="A105" s="178"/>
      <c r="B105" s="56"/>
      <c r="C105" s="3">
        <f t="shared" si="3"/>
        <v>-4000000</v>
      </c>
      <c r="D105" s="7"/>
      <c r="E105" s="8"/>
      <c r="F105" s="7"/>
    </row>
    <row r="106" spans="1:6" ht="15.6" x14ac:dyDescent="0.3">
      <c r="A106" s="178"/>
      <c r="B106" s="56"/>
      <c r="C106" s="3">
        <f t="shared" si="3"/>
        <v>-4000000</v>
      </c>
      <c r="D106" s="7"/>
      <c r="E106" s="8"/>
      <c r="F106" s="7"/>
    </row>
    <row r="107" spans="1:6" ht="15.6" x14ac:dyDescent="0.3">
      <c r="A107" s="178"/>
      <c r="B107" s="56"/>
      <c r="C107" s="3">
        <f t="shared" si="3"/>
        <v>-4000000</v>
      </c>
      <c r="D107" s="7"/>
      <c r="E107" s="8"/>
      <c r="F107" s="7"/>
    </row>
    <row r="108" spans="1:6" ht="15.6" x14ac:dyDescent="0.3">
      <c r="A108" s="178"/>
      <c r="B108" s="56"/>
      <c r="C108" s="3">
        <f t="shared" si="3"/>
        <v>-4000000</v>
      </c>
      <c r="D108" s="7"/>
      <c r="E108" s="8"/>
      <c r="F108" s="7"/>
    </row>
    <row r="109" spans="1:6" ht="15.6" x14ac:dyDescent="0.3">
      <c r="A109" s="178"/>
      <c r="B109" s="56"/>
      <c r="C109" s="3">
        <f t="shared" si="3"/>
        <v>-4000000</v>
      </c>
      <c r="D109" s="7"/>
      <c r="E109" s="8"/>
      <c r="F109" s="7"/>
    </row>
    <row r="110" spans="1:6" ht="15.6" x14ac:dyDescent="0.3">
      <c r="A110" s="178"/>
      <c r="B110" s="56"/>
      <c r="C110" s="3">
        <f t="shared" si="3"/>
        <v>-4000000</v>
      </c>
      <c r="D110" s="7"/>
      <c r="E110" s="8"/>
      <c r="F110" s="7"/>
    </row>
    <row r="111" spans="1:6" ht="15.6" x14ac:dyDescent="0.3">
      <c r="A111" s="178"/>
      <c r="B111" s="56"/>
      <c r="C111" s="3">
        <f t="shared" si="3"/>
        <v>-4000000</v>
      </c>
      <c r="D111" s="7"/>
      <c r="E111" s="8"/>
      <c r="F111" s="7"/>
    </row>
    <row r="112" spans="1:6" ht="15.6" x14ac:dyDescent="0.3">
      <c r="A112" s="178"/>
      <c r="B112" s="56"/>
      <c r="C112" s="3">
        <f t="shared" si="3"/>
        <v>-4000000</v>
      </c>
      <c r="D112" s="7"/>
      <c r="E112" s="8"/>
      <c r="F112" s="7"/>
    </row>
    <row r="113" spans="1:6" ht="15.6" x14ac:dyDescent="0.3">
      <c r="A113" s="178"/>
      <c r="B113" s="56"/>
      <c r="C113" s="3">
        <f t="shared" si="3"/>
        <v>-4000000</v>
      </c>
      <c r="D113" s="7"/>
      <c r="E113" s="8"/>
      <c r="F113" s="7"/>
    </row>
    <row r="114" spans="1:6" ht="15.6" x14ac:dyDescent="0.3">
      <c r="A114" s="178"/>
      <c r="B114" s="56"/>
      <c r="C114" s="3">
        <f t="shared" si="3"/>
        <v>-4000000</v>
      </c>
      <c r="D114" s="7"/>
      <c r="E114" s="8"/>
      <c r="F114" s="7"/>
    </row>
    <row r="115" spans="1:6" ht="15.6" x14ac:dyDescent="0.3">
      <c r="A115" s="178"/>
      <c r="B115" s="56"/>
      <c r="C115" s="3">
        <f t="shared" si="3"/>
        <v>-4000000</v>
      </c>
      <c r="D115" s="7"/>
      <c r="E115" s="8"/>
      <c r="F115" s="7"/>
    </row>
    <row r="116" spans="1:6" ht="15.6" x14ac:dyDescent="0.3">
      <c r="A116" s="178"/>
      <c r="B116" s="56"/>
      <c r="C116" s="3">
        <f t="shared" si="3"/>
        <v>-4000000</v>
      </c>
      <c r="D116" s="7"/>
      <c r="E116" s="8"/>
      <c r="F116" s="7"/>
    </row>
    <row r="117" spans="1:6" ht="15.6" x14ac:dyDescent="0.3">
      <c r="A117" s="178"/>
      <c r="B117" s="56"/>
      <c r="C117" s="3">
        <f t="shared" si="3"/>
        <v>-4000000</v>
      </c>
      <c r="D117" s="7"/>
      <c r="E117" s="8"/>
      <c r="F117" s="7"/>
    </row>
    <row r="118" spans="1:6" ht="15.6" x14ac:dyDescent="0.3">
      <c r="A118" s="178"/>
      <c r="B118" s="56"/>
      <c r="C118" s="3">
        <f t="shared" si="3"/>
        <v>-4000000</v>
      </c>
      <c r="D118" s="7"/>
      <c r="E118" s="8"/>
      <c r="F118" s="7"/>
    </row>
    <row r="119" spans="1:6" ht="15.6" x14ac:dyDescent="0.3">
      <c r="A119" s="178"/>
      <c r="B119" s="56"/>
      <c r="C119" s="3">
        <f t="shared" si="3"/>
        <v>-4000000</v>
      </c>
      <c r="D119" s="7"/>
      <c r="E119" s="8"/>
      <c r="F119" s="7"/>
    </row>
    <row r="120" spans="1:6" ht="15.6" x14ac:dyDescent="0.3">
      <c r="A120" s="178"/>
      <c r="B120" s="56"/>
      <c r="C120" s="3">
        <f t="shared" si="3"/>
        <v>-4000000</v>
      </c>
      <c r="D120" s="7"/>
      <c r="E120" s="8"/>
      <c r="F120" s="7"/>
    </row>
    <row r="121" spans="1:6" ht="15.6" x14ac:dyDescent="0.3">
      <c r="A121" s="178"/>
      <c r="B121" s="56"/>
      <c r="C121" s="3">
        <f t="shared" si="3"/>
        <v>-4000000</v>
      </c>
      <c r="D121" s="7"/>
      <c r="E121" s="8"/>
      <c r="F121" s="7"/>
    </row>
    <row r="122" spans="1:6" ht="15.6" x14ac:dyDescent="0.3">
      <c r="A122" s="178"/>
      <c r="B122" s="56"/>
      <c r="C122" s="3">
        <f t="shared" si="3"/>
        <v>-4000000</v>
      </c>
      <c r="D122" s="7"/>
      <c r="E122" s="8"/>
      <c r="F122" s="7"/>
    </row>
    <row r="123" spans="1:6" ht="15.6" x14ac:dyDescent="0.3">
      <c r="A123" s="178"/>
      <c r="B123" s="56"/>
      <c r="C123" s="3">
        <f t="shared" si="3"/>
        <v>-4000000</v>
      </c>
      <c r="D123" s="7"/>
      <c r="E123" s="8"/>
      <c r="F123" s="7"/>
    </row>
    <row r="124" spans="1:6" ht="15.6" x14ac:dyDescent="0.3">
      <c r="A124" s="178"/>
      <c r="B124" s="56"/>
      <c r="C124" s="3">
        <f t="shared" si="3"/>
        <v>-4000000</v>
      </c>
      <c r="D124" s="7"/>
      <c r="E124" s="8"/>
      <c r="F124" s="7"/>
    </row>
    <row r="125" spans="1:6" ht="15.6" x14ac:dyDescent="0.3">
      <c r="A125" s="178"/>
      <c r="B125" s="56"/>
      <c r="C125" s="3">
        <f t="shared" si="3"/>
        <v>-4000000</v>
      </c>
      <c r="D125" s="7"/>
      <c r="E125" s="8"/>
      <c r="F125" s="7"/>
    </row>
    <row r="126" spans="1:6" ht="15.6" x14ac:dyDescent="0.3">
      <c r="A126" s="178"/>
      <c r="B126" s="56"/>
      <c r="C126" s="3">
        <f t="shared" si="3"/>
        <v>-4000000</v>
      </c>
      <c r="D126" s="7"/>
      <c r="E126" s="8"/>
      <c r="F126" s="7"/>
    </row>
    <row r="127" spans="1:6" ht="15.6" x14ac:dyDescent="0.3">
      <c r="A127" s="178"/>
      <c r="B127" s="56"/>
      <c r="C127" s="3">
        <f t="shared" si="3"/>
        <v>-4000000</v>
      </c>
      <c r="D127" s="7"/>
      <c r="E127" s="8"/>
      <c r="F127" s="7"/>
    </row>
    <row r="128" spans="1:6" ht="15.6" x14ac:dyDescent="0.3">
      <c r="A128" s="58"/>
      <c r="B128" s="57"/>
      <c r="C128" s="7">
        <f t="shared" si="3"/>
        <v>-4000000</v>
      </c>
      <c r="D128" s="7"/>
      <c r="E128" s="8"/>
      <c r="F128" s="7"/>
    </row>
    <row r="129" spans="1:6" ht="15.6" x14ac:dyDescent="0.3">
      <c r="A129" s="58"/>
      <c r="B129" s="57"/>
      <c r="C129" s="7">
        <f t="shared" si="3"/>
        <v>-4000000</v>
      </c>
      <c r="D129" s="7"/>
      <c r="E129" s="8"/>
      <c r="F129" s="7"/>
    </row>
    <row r="130" spans="1:6" ht="15.6" x14ac:dyDescent="0.3">
      <c r="A130" s="58"/>
      <c r="B130" s="57"/>
      <c r="C130" s="7">
        <f t="shared" si="3"/>
        <v>-4000000</v>
      </c>
      <c r="D130" s="7"/>
      <c r="E130" s="8"/>
      <c r="F130" s="7"/>
    </row>
    <row r="131" spans="1:6" ht="15.6" x14ac:dyDescent="0.3">
      <c r="A131" s="58"/>
      <c r="B131" s="57"/>
      <c r="C131" s="7">
        <f t="shared" si="3"/>
        <v>-4000000</v>
      </c>
      <c r="D131" s="7"/>
      <c r="E131" s="8"/>
      <c r="F131" s="7"/>
    </row>
    <row r="132" spans="1:6" ht="15.6" x14ac:dyDescent="0.3">
      <c r="A132" s="58"/>
      <c r="B132" s="57"/>
      <c r="C132" s="7">
        <f t="shared" si="3"/>
        <v>-4000000</v>
      </c>
      <c r="D132" s="7"/>
      <c r="E132" s="8"/>
      <c r="F132" s="7"/>
    </row>
    <row r="133" spans="1:6" ht="15.6" x14ac:dyDescent="0.3">
      <c r="A133" s="58"/>
      <c r="B133" s="57"/>
      <c r="C133" s="7">
        <f t="shared" si="3"/>
        <v>-4000000</v>
      </c>
      <c r="D133" s="7"/>
      <c r="E133" s="8"/>
      <c r="F133" s="7"/>
    </row>
    <row r="134" spans="1:6" ht="15.6" x14ac:dyDescent="0.3">
      <c r="A134" s="58"/>
      <c r="B134" s="57"/>
      <c r="C134" s="7">
        <f t="shared" si="3"/>
        <v>-4000000</v>
      </c>
      <c r="D134" s="7"/>
      <c r="E134" s="8"/>
      <c r="F134" s="7"/>
    </row>
    <row r="135" spans="1:6" ht="15.6" x14ac:dyDescent="0.3">
      <c r="A135" s="58"/>
      <c r="B135" s="57"/>
      <c r="C135" s="7">
        <f t="shared" si="3"/>
        <v>-4000000</v>
      </c>
      <c r="D135" s="7"/>
      <c r="E135" s="8"/>
      <c r="F135" s="7"/>
    </row>
    <row r="136" spans="1:6" ht="15.6" x14ac:dyDescent="0.3">
      <c r="A136" s="58"/>
      <c r="B136" s="57"/>
      <c r="C136" s="7">
        <f t="shared" si="3"/>
        <v>-4000000</v>
      </c>
      <c r="D136" s="7"/>
      <c r="E136" s="8"/>
      <c r="F136" s="7"/>
    </row>
    <row r="137" spans="1:6" ht="15.6" x14ac:dyDescent="0.3">
      <c r="A137" s="58"/>
      <c r="B137" s="57"/>
      <c r="C137" s="7">
        <f t="shared" si="3"/>
        <v>-4000000</v>
      </c>
      <c r="D137" s="7"/>
      <c r="E137" s="8"/>
      <c r="F137" s="7"/>
    </row>
    <row r="138" spans="1:6" ht="15.6" x14ac:dyDescent="0.3">
      <c r="A138" s="58"/>
      <c r="B138" s="57"/>
      <c r="C138" s="7">
        <f t="shared" si="3"/>
        <v>-4000000</v>
      </c>
      <c r="D138" s="7"/>
      <c r="E138" s="8"/>
      <c r="F138" s="7"/>
    </row>
    <row r="139" spans="1:6" ht="15.6" x14ac:dyDescent="0.3">
      <c r="A139" s="58"/>
      <c r="B139" s="57"/>
      <c r="C139" s="7">
        <f t="shared" si="3"/>
        <v>-4000000</v>
      </c>
      <c r="D139" s="7"/>
      <c r="E139" s="8"/>
      <c r="F139" s="7"/>
    </row>
    <row r="140" spans="1:6" ht="15.6" x14ac:dyDescent="0.3">
      <c r="A140" s="58"/>
      <c r="B140" s="57"/>
      <c r="C140" s="7">
        <f t="shared" si="3"/>
        <v>-4000000</v>
      </c>
      <c r="D140" s="7"/>
      <c r="E140" s="8"/>
      <c r="F140" s="7"/>
    </row>
    <row r="141" spans="1:6" ht="15.6" x14ac:dyDescent="0.3">
      <c r="A141" s="58"/>
      <c r="B141" s="57"/>
      <c r="C141" s="7">
        <f t="shared" si="3"/>
        <v>-4000000</v>
      </c>
      <c r="D141" s="7"/>
      <c r="E141" s="8"/>
      <c r="F141" s="7"/>
    </row>
    <row r="142" spans="1:6" ht="15.6" x14ac:dyDescent="0.3">
      <c r="A142" s="58"/>
      <c r="B142" s="57"/>
      <c r="C142" s="7">
        <f t="shared" ref="C142:C154" si="4">IF(A142&gt;0,C141+A142-B142,C141-B142)</f>
        <v>-4000000</v>
      </c>
      <c r="D142" s="7"/>
      <c r="E142" s="8"/>
      <c r="F142" s="7"/>
    </row>
    <row r="143" spans="1:6" ht="15.6" x14ac:dyDescent="0.3">
      <c r="A143" s="58"/>
      <c r="B143" s="57"/>
      <c r="C143" s="7">
        <f t="shared" si="4"/>
        <v>-4000000</v>
      </c>
      <c r="D143" s="7"/>
      <c r="E143" s="8"/>
      <c r="F143" s="7"/>
    </row>
    <row r="144" spans="1:6" ht="15.6" x14ac:dyDescent="0.3">
      <c r="A144" s="58"/>
      <c r="B144" s="57"/>
      <c r="C144" s="7">
        <f t="shared" si="4"/>
        <v>-4000000</v>
      </c>
      <c r="D144" s="7"/>
      <c r="E144" s="8"/>
      <c r="F144" s="7"/>
    </row>
    <row r="145" spans="1:6" ht="15.6" x14ac:dyDescent="0.3">
      <c r="A145" s="58"/>
      <c r="B145" s="57"/>
      <c r="C145" s="7">
        <f t="shared" si="4"/>
        <v>-4000000</v>
      </c>
      <c r="D145" s="7"/>
      <c r="E145" s="8"/>
      <c r="F145" s="7"/>
    </row>
    <row r="146" spans="1:6" ht="15.6" x14ac:dyDescent="0.3">
      <c r="A146" s="58"/>
      <c r="B146" s="57"/>
      <c r="C146" s="7">
        <f t="shared" si="4"/>
        <v>-4000000</v>
      </c>
      <c r="D146" s="7"/>
      <c r="E146" s="8"/>
      <c r="F146" s="7"/>
    </row>
    <row r="147" spans="1:6" ht="15.6" x14ac:dyDescent="0.3">
      <c r="A147" s="58"/>
      <c r="B147" s="57"/>
      <c r="C147" s="7">
        <f t="shared" si="4"/>
        <v>-4000000</v>
      </c>
      <c r="D147" s="7"/>
      <c r="E147" s="8"/>
      <c r="F147" s="7"/>
    </row>
    <row r="148" spans="1:6" ht="15.6" x14ac:dyDescent="0.3">
      <c r="A148" s="58"/>
      <c r="B148" s="57"/>
      <c r="C148" s="7">
        <f t="shared" si="4"/>
        <v>-4000000</v>
      </c>
      <c r="D148" s="7"/>
      <c r="E148" s="8"/>
      <c r="F148" s="7"/>
    </row>
    <row r="149" spans="1:6" ht="15.6" x14ac:dyDescent="0.3">
      <c r="A149" s="58"/>
      <c r="B149" s="57"/>
      <c r="C149" s="7">
        <f t="shared" si="4"/>
        <v>-4000000</v>
      </c>
      <c r="D149" s="7"/>
      <c r="E149" s="8"/>
      <c r="F149" s="7"/>
    </row>
    <row r="150" spans="1:6" ht="15.6" x14ac:dyDescent="0.3">
      <c r="A150" s="58"/>
      <c r="B150" s="57"/>
      <c r="C150" s="7">
        <f t="shared" si="4"/>
        <v>-4000000</v>
      </c>
      <c r="D150" s="7"/>
      <c r="E150" s="8"/>
      <c r="F150" s="7"/>
    </row>
    <row r="151" spans="1:6" ht="15.6" x14ac:dyDescent="0.3">
      <c r="A151" s="58"/>
      <c r="B151" s="57"/>
      <c r="C151" s="7">
        <f t="shared" si="4"/>
        <v>-4000000</v>
      </c>
      <c r="D151" s="7"/>
      <c r="E151" s="8"/>
      <c r="F151" s="7"/>
    </row>
    <row r="152" spans="1:6" ht="15.6" x14ac:dyDescent="0.3">
      <c r="A152" s="58"/>
      <c r="B152" s="57"/>
      <c r="C152" s="7">
        <f t="shared" si="4"/>
        <v>-4000000</v>
      </c>
      <c r="D152" s="7"/>
      <c r="E152" s="8"/>
      <c r="F152" s="7"/>
    </row>
    <row r="153" spans="1:6" ht="15.6" x14ac:dyDescent="0.3">
      <c r="A153" s="58"/>
      <c r="B153" s="57"/>
      <c r="C153" s="7">
        <f t="shared" si="4"/>
        <v>-4000000</v>
      </c>
      <c r="D153" s="7"/>
      <c r="E153" s="8"/>
      <c r="F153" s="7"/>
    </row>
    <row r="154" spans="1:6" ht="15.6" x14ac:dyDescent="0.3">
      <c r="A154" s="58"/>
      <c r="B154" s="57"/>
      <c r="C154" s="7">
        <f t="shared" si="4"/>
        <v>-4000000</v>
      </c>
      <c r="D154" s="7"/>
      <c r="E154" s="8"/>
      <c r="F154" s="7"/>
    </row>
    <row r="155" spans="1:6" ht="15.6" x14ac:dyDescent="0.3">
      <c r="A155" s="58"/>
      <c r="B155" s="57"/>
      <c r="C155" s="7"/>
      <c r="D155" s="7"/>
      <c r="E155" s="8"/>
      <c r="F155" s="7"/>
    </row>
    <row r="156" spans="1:6" ht="15.6" x14ac:dyDescent="0.3">
      <c r="A156" s="58"/>
      <c r="B156" s="57"/>
      <c r="C156" s="7"/>
      <c r="D156" s="7"/>
      <c r="E156" s="8"/>
      <c r="F156" s="7"/>
    </row>
    <row r="157" spans="1:6" ht="15.6" x14ac:dyDescent="0.3">
      <c r="A157" s="58"/>
      <c r="B157" s="57"/>
      <c r="C157" s="7">
        <f>IF(A157&gt;0,C154+A157-B157,C154-B157)</f>
        <v>-4000000</v>
      </c>
      <c r="D157" s="7"/>
      <c r="E157" s="8"/>
      <c r="F157" s="7"/>
    </row>
  </sheetData>
  <mergeCells count="4">
    <mergeCell ref="A3:B3"/>
    <mergeCell ref="L3:N3"/>
    <mergeCell ref="L30:N30"/>
    <mergeCell ref="L6:N6"/>
  </mergeCells>
  <pageMargins left="0.7" right="0.7" top="0.75" bottom="0.75" header="0.3" footer="0.3"/>
  <pageSetup scale="2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52"/>
  <sheetViews>
    <sheetView rightToLeft="1" workbookViewId="0">
      <pane ySplit="5" topLeftCell="A6" activePane="bottomLeft" state="frozen"/>
      <selection pane="bottomLeft" activeCell="A12" sqref="A12"/>
    </sheetView>
  </sheetViews>
  <sheetFormatPr defaultColWidth="9" defaultRowHeight="14.4" x14ac:dyDescent="0.3"/>
  <cols>
    <col min="1" max="1" width="11.33203125" customWidth="1"/>
    <col min="2" max="2" width="11.88671875" customWidth="1"/>
    <col min="3" max="3" width="13.5546875" customWidth="1"/>
    <col min="4" max="4" width="26.44140625" customWidth="1"/>
    <col min="5" max="5" width="20.44140625" bestFit="1" customWidth="1"/>
    <col min="8" max="8" width="6.5546875" customWidth="1"/>
    <col min="9" max="9" width="13" customWidth="1"/>
    <col min="10" max="10" width="17.33203125" customWidth="1"/>
    <col min="11" max="11" width="17.44140625" bestFit="1" customWidth="1"/>
    <col min="12" max="12" width="9.109375" bestFit="1" customWidth="1"/>
  </cols>
  <sheetData>
    <row r="1" spans="1:14" ht="15.6" x14ac:dyDescent="0.3">
      <c r="A1" s="1"/>
      <c r="B1" s="1"/>
      <c r="C1" s="1"/>
      <c r="D1" s="1"/>
      <c r="E1" s="2"/>
      <c r="F1" s="1"/>
    </row>
    <row r="2" spans="1:14" ht="15.6" x14ac:dyDescent="0.3">
      <c r="A2" s="3">
        <f>SUBTOTAL(9,A5:A152)</f>
        <v>2950000</v>
      </c>
      <c r="B2" s="3">
        <f>SUBTOTAL(9,B5:B152)</f>
        <v>6750000</v>
      </c>
      <c r="C2" s="3">
        <f>A2-B2</f>
        <v>-3800000</v>
      </c>
      <c r="D2" s="1"/>
      <c r="E2" s="2"/>
      <c r="F2" s="1"/>
    </row>
    <row r="3" spans="1:14" ht="29.25" customHeight="1" x14ac:dyDescent="0.3">
      <c r="A3" s="273" t="s">
        <v>229</v>
      </c>
      <c r="B3" s="274"/>
      <c r="C3" s="275"/>
      <c r="D3" s="5" t="s">
        <v>62</v>
      </c>
      <c r="E3" s="6"/>
      <c r="F3" s="6"/>
    </row>
    <row r="4" spans="1:14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4" ht="0.75" customHeight="1" x14ac:dyDescent="0.3">
      <c r="A5" s="7"/>
      <c r="B5" s="7"/>
      <c r="C5" s="7">
        <v>0</v>
      </c>
      <c r="D5" s="7"/>
      <c r="E5" s="8"/>
      <c r="F5" s="7"/>
    </row>
    <row r="6" spans="1:14" ht="15.6" x14ac:dyDescent="0.3">
      <c r="A6" s="83"/>
      <c r="B6" s="83">
        <v>6750000</v>
      </c>
      <c r="C6" s="3">
        <f>IF(A6&gt;0,C5+A6-B6,C5-B6)</f>
        <v>-6750000</v>
      </c>
      <c r="D6" s="57" t="s">
        <v>230</v>
      </c>
      <c r="E6" s="94"/>
      <c r="F6" s="58"/>
    </row>
    <row r="7" spans="1:14" ht="15.6" x14ac:dyDescent="0.3">
      <c r="A7" s="36">
        <v>100000</v>
      </c>
      <c r="B7" s="83"/>
      <c r="C7" s="3">
        <f t="shared" ref="C7:C70" si="0">IF(A7&gt;0,C6+A7-B7,C6-B7)</f>
        <v>-6650000</v>
      </c>
      <c r="D7" s="75" t="s">
        <v>231</v>
      </c>
      <c r="E7" s="35" t="s">
        <v>232</v>
      </c>
      <c r="F7" s="58"/>
      <c r="H7" s="6"/>
      <c r="I7" s="5" t="s">
        <v>37</v>
      </c>
      <c r="J7" s="6" t="s">
        <v>234</v>
      </c>
      <c r="K7" s="272" t="s">
        <v>235</v>
      </c>
      <c r="L7" s="272"/>
      <c r="M7" s="272"/>
      <c r="N7" s="6" t="s">
        <v>504</v>
      </c>
    </row>
    <row r="8" spans="1:14" ht="15.6" x14ac:dyDescent="0.3">
      <c r="A8" s="36">
        <v>940000</v>
      </c>
      <c r="B8" s="83"/>
      <c r="C8" s="3">
        <f t="shared" si="0"/>
        <v>-5710000</v>
      </c>
      <c r="D8" s="75" t="s">
        <v>122</v>
      </c>
      <c r="E8" s="35" t="s">
        <v>233</v>
      </c>
      <c r="F8" s="58"/>
      <c r="H8" s="7" t="s">
        <v>40</v>
      </c>
      <c r="I8" s="7" t="s">
        <v>6</v>
      </c>
      <c r="J8" s="41" t="s">
        <v>41</v>
      </c>
      <c r="K8" s="41" t="s">
        <v>42</v>
      </c>
      <c r="L8" s="7" t="s">
        <v>43</v>
      </c>
      <c r="M8" s="7" t="s">
        <v>7</v>
      </c>
      <c r="N8" s="7" t="s">
        <v>505</v>
      </c>
    </row>
    <row r="9" spans="1:14" ht="15.6" x14ac:dyDescent="0.3">
      <c r="A9" s="36">
        <v>10000</v>
      </c>
      <c r="B9" s="83"/>
      <c r="C9" s="3">
        <f t="shared" si="0"/>
        <v>-5700000</v>
      </c>
      <c r="D9" s="75" t="s">
        <v>372</v>
      </c>
      <c r="E9" s="170">
        <v>46064</v>
      </c>
      <c r="F9" s="58"/>
      <c r="H9" s="7"/>
      <c r="I9" s="7"/>
      <c r="J9" s="41">
        <v>6750000</v>
      </c>
      <c r="K9" s="41"/>
      <c r="L9" s="7">
        <f>J9-K9</f>
        <v>6750000</v>
      </c>
      <c r="M9" s="7" t="s">
        <v>248</v>
      </c>
      <c r="N9" s="208" t="s">
        <v>506</v>
      </c>
    </row>
    <row r="10" spans="1:14" ht="15.6" x14ac:dyDescent="0.3">
      <c r="A10" s="36">
        <v>950000</v>
      </c>
      <c r="B10" s="84"/>
      <c r="C10" s="3">
        <f t="shared" si="0"/>
        <v>-4750000</v>
      </c>
      <c r="D10" s="75" t="s">
        <v>28</v>
      </c>
      <c r="E10" s="170">
        <v>46163</v>
      </c>
      <c r="F10" s="58"/>
      <c r="H10" s="7"/>
      <c r="I10" s="8"/>
      <c r="J10" s="41"/>
      <c r="K10" s="41">
        <v>1050000</v>
      </c>
      <c r="L10" s="7">
        <f>L9-K10</f>
        <v>5700000</v>
      </c>
      <c r="M10" s="7" t="s">
        <v>122</v>
      </c>
      <c r="N10" s="208"/>
    </row>
    <row r="11" spans="1:14" ht="15.6" x14ac:dyDescent="0.3">
      <c r="A11" s="263">
        <v>950000</v>
      </c>
      <c r="B11" s="86"/>
      <c r="C11" s="3">
        <f t="shared" si="0"/>
        <v>-3800000</v>
      </c>
      <c r="D11" s="75" t="s">
        <v>28</v>
      </c>
      <c r="E11" s="170">
        <v>46273</v>
      </c>
      <c r="F11" s="58"/>
      <c r="H11" s="7">
        <v>1</v>
      </c>
      <c r="I11" s="46" t="s">
        <v>236</v>
      </c>
      <c r="J11" s="47"/>
      <c r="K11" s="47">
        <v>475000</v>
      </c>
      <c r="L11" s="48">
        <f>L10-K11</f>
        <v>5225000</v>
      </c>
      <c r="M11" s="48" t="s">
        <v>136</v>
      </c>
      <c r="N11" s="208"/>
    </row>
    <row r="12" spans="1:14" ht="15.6" x14ac:dyDescent="0.3">
      <c r="A12" s="86"/>
      <c r="B12" s="86"/>
      <c r="C12" s="3">
        <f t="shared" si="0"/>
        <v>-3800000</v>
      </c>
      <c r="D12" s="69"/>
      <c r="E12" s="170"/>
      <c r="F12" s="58"/>
      <c r="H12" s="7">
        <v>2</v>
      </c>
      <c r="I12" s="46" t="s">
        <v>237</v>
      </c>
      <c r="J12" s="47"/>
      <c r="K12" s="47">
        <v>475000</v>
      </c>
      <c r="L12" s="48">
        <f>L11-K12</f>
        <v>4750000</v>
      </c>
      <c r="M12" s="48" t="s">
        <v>136</v>
      </c>
      <c r="N12" s="208"/>
    </row>
    <row r="13" spans="1:14" ht="15.6" x14ac:dyDescent="0.3">
      <c r="A13" s="86"/>
      <c r="B13" s="86"/>
      <c r="C13" s="3">
        <f t="shared" si="0"/>
        <v>-3800000</v>
      </c>
      <c r="D13" s="69"/>
      <c r="E13" s="170"/>
      <c r="F13" s="58"/>
      <c r="H13" s="7">
        <v>3</v>
      </c>
      <c r="I13" s="8" t="s">
        <v>238</v>
      </c>
      <c r="J13" s="41"/>
      <c r="K13" s="41">
        <v>475000</v>
      </c>
      <c r="L13" s="7">
        <f t="shared" ref="L13:L23" si="1">L12-K13</f>
        <v>4275000</v>
      </c>
      <c r="M13" s="7"/>
      <c r="N13" s="208"/>
    </row>
    <row r="14" spans="1:14" ht="15.6" x14ac:dyDescent="0.3">
      <c r="A14" s="86"/>
      <c r="B14" s="86"/>
      <c r="C14" s="3">
        <f t="shared" si="0"/>
        <v>-3800000</v>
      </c>
      <c r="D14" s="69"/>
      <c r="E14" s="170"/>
      <c r="F14" s="58"/>
      <c r="H14" s="7">
        <v>4</v>
      </c>
      <c r="I14" s="8" t="s">
        <v>239</v>
      </c>
      <c r="J14" s="41"/>
      <c r="K14" s="41">
        <v>475000</v>
      </c>
      <c r="L14" s="7">
        <f t="shared" si="1"/>
        <v>3800000</v>
      </c>
      <c r="M14" s="7"/>
      <c r="N14" s="208"/>
    </row>
    <row r="15" spans="1:14" ht="15.6" x14ac:dyDescent="0.3">
      <c r="A15" s="86"/>
      <c r="B15" s="86"/>
      <c r="C15" s="3">
        <f t="shared" si="0"/>
        <v>-3800000</v>
      </c>
      <c r="D15" s="87"/>
      <c r="E15" s="171"/>
      <c r="F15" s="58"/>
      <c r="H15" s="7">
        <v>5</v>
      </c>
      <c r="I15" s="8" t="s">
        <v>240</v>
      </c>
      <c r="J15" s="41"/>
      <c r="K15" s="41">
        <v>475000</v>
      </c>
      <c r="L15" s="7">
        <f t="shared" si="1"/>
        <v>3325000</v>
      </c>
      <c r="M15" s="7"/>
      <c r="N15" s="208"/>
    </row>
    <row r="16" spans="1:14" ht="15.6" x14ac:dyDescent="0.3">
      <c r="A16" s="88"/>
      <c r="B16" s="88"/>
      <c r="C16" s="3">
        <f t="shared" si="0"/>
        <v>-3800000</v>
      </c>
      <c r="D16" s="89"/>
      <c r="E16" s="172"/>
      <c r="F16" s="58"/>
      <c r="H16" s="7">
        <v>6</v>
      </c>
      <c r="I16" s="8" t="s">
        <v>241</v>
      </c>
      <c r="J16" s="41"/>
      <c r="K16" s="41">
        <v>475000</v>
      </c>
      <c r="L16" s="7">
        <f t="shared" si="1"/>
        <v>2850000</v>
      </c>
      <c r="M16" s="7"/>
      <c r="N16" s="208"/>
    </row>
    <row r="17" spans="1:14" ht="15.6" x14ac:dyDescent="0.3">
      <c r="A17" s="88"/>
      <c r="B17" s="88"/>
      <c r="C17" s="3">
        <f t="shared" si="0"/>
        <v>-3800000</v>
      </c>
      <c r="D17" s="89"/>
      <c r="E17" s="172"/>
      <c r="F17" s="58"/>
      <c r="H17" s="7">
        <v>7</v>
      </c>
      <c r="I17" s="8" t="s">
        <v>242</v>
      </c>
      <c r="J17" s="41"/>
      <c r="K17" s="41">
        <v>475000</v>
      </c>
      <c r="L17" s="7">
        <f t="shared" si="1"/>
        <v>2375000</v>
      </c>
      <c r="M17" s="7"/>
      <c r="N17" s="208"/>
    </row>
    <row r="18" spans="1:14" ht="15.6" x14ac:dyDescent="0.3">
      <c r="A18" s="88"/>
      <c r="B18" s="88"/>
      <c r="C18" s="3">
        <f t="shared" si="0"/>
        <v>-3800000</v>
      </c>
      <c r="D18" s="89"/>
      <c r="E18" s="172"/>
      <c r="F18" s="58"/>
      <c r="H18" s="7">
        <v>8</v>
      </c>
      <c r="I18" s="8" t="s">
        <v>243</v>
      </c>
      <c r="J18" s="41"/>
      <c r="K18" s="41">
        <v>475000</v>
      </c>
      <c r="L18" s="7">
        <f t="shared" si="1"/>
        <v>1900000</v>
      </c>
      <c r="M18" s="7"/>
      <c r="N18" s="208"/>
    </row>
    <row r="19" spans="1:14" ht="15.6" x14ac:dyDescent="0.3">
      <c r="A19" s="3"/>
      <c r="B19" s="3"/>
      <c r="C19" s="3">
        <f t="shared" si="0"/>
        <v>-3800000</v>
      </c>
      <c r="D19" s="7"/>
      <c r="E19" s="173"/>
      <c r="F19" s="58"/>
      <c r="H19" s="7">
        <v>9</v>
      </c>
      <c r="I19" s="8" t="s">
        <v>244</v>
      </c>
      <c r="J19" s="41"/>
      <c r="K19" s="41">
        <v>475000</v>
      </c>
      <c r="L19" s="7">
        <f t="shared" si="1"/>
        <v>1425000</v>
      </c>
      <c r="M19" s="7"/>
      <c r="N19" s="208"/>
    </row>
    <row r="20" spans="1:14" ht="15.6" x14ac:dyDescent="0.3">
      <c r="A20" s="3"/>
      <c r="B20" s="3"/>
      <c r="C20" s="3">
        <f t="shared" si="0"/>
        <v>-3800000</v>
      </c>
      <c r="D20" s="91"/>
      <c r="E20" s="174"/>
      <c r="F20" s="58"/>
      <c r="H20" s="7">
        <v>10</v>
      </c>
      <c r="I20" s="8" t="s">
        <v>245</v>
      </c>
      <c r="J20" s="41"/>
      <c r="K20" s="41">
        <v>475000</v>
      </c>
      <c r="L20" s="7">
        <f t="shared" si="1"/>
        <v>950000</v>
      </c>
      <c r="M20" s="7"/>
      <c r="N20" s="208"/>
    </row>
    <row r="21" spans="1:14" ht="15.6" x14ac:dyDescent="0.3">
      <c r="A21" s="3"/>
      <c r="B21" s="3"/>
      <c r="C21" s="3">
        <f t="shared" si="0"/>
        <v>-3800000</v>
      </c>
      <c r="D21" s="8"/>
      <c r="E21" s="174"/>
      <c r="F21" s="58"/>
      <c r="H21" s="7">
        <v>11</v>
      </c>
      <c r="I21" s="8" t="s">
        <v>246</v>
      </c>
      <c r="J21" s="41"/>
      <c r="K21" s="41">
        <v>475000</v>
      </c>
      <c r="L21" s="7">
        <f t="shared" si="1"/>
        <v>475000</v>
      </c>
      <c r="M21" s="7"/>
      <c r="N21" s="208"/>
    </row>
    <row r="22" spans="1:14" ht="15.6" x14ac:dyDescent="0.3">
      <c r="A22" s="3"/>
      <c r="B22" s="3"/>
      <c r="C22" s="3">
        <f t="shared" si="0"/>
        <v>-3800000</v>
      </c>
      <c r="D22" s="8"/>
      <c r="E22" s="174"/>
      <c r="F22" s="58"/>
      <c r="H22" s="7">
        <v>12</v>
      </c>
      <c r="I22" s="8" t="s">
        <v>247</v>
      </c>
      <c r="J22" s="41"/>
      <c r="K22" s="41">
        <v>475000</v>
      </c>
      <c r="L22" s="7">
        <f t="shared" si="1"/>
        <v>0</v>
      </c>
      <c r="M22" s="7"/>
      <c r="N22" s="208"/>
    </row>
    <row r="23" spans="1:14" ht="15.6" x14ac:dyDescent="0.3">
      <c r="A23" s="3"/>
      <c r="B23" s="3"/>
      <c r="C23" s="3">
        <f t="shared" si="0"/>
        <v>-3800000</v>
      </c>
      <c r="D23" s="8"/>
      <c r="E23" s="8"/>
      <c r="F23" s="58"/>
      <c r="H23" s="7"/>
      <c r="I23" s="8"/>
      <c r="J23" s="41"/>
      <c r="K23" s="41"/>
      <c r="L23" s="7">
        <f t="shared" si="1"/>
        <v>0</v>
      </c>
      <c r="M23" s="7"/>
      <c r="N23" s="208"/>
    </row>
    <row r="24" spans="1:14" ht="15.6" x14ac:dyDescent="0.3">
      <c r="A24" s="3"/>
      <c r="B24" s="3"/>
      <c r="C24" s="3">
        <f t="shared" si="0"/>
        <v>-3800000</v>
      </c>
      <c r="D24" s="8"/>
      <c r="E24" s="8"/>
      <c r="F24" s="58"/>
    </row>
    <row r="25" spans="1:14" ht="15.6" x14ac:dyDescent="0.3">
      <c r="A25" s="3"/>
      <c r="B25" s="3"/>
      <c r="C25" s="3">
        <f t="shared" si="0"/>
        <v>-3800000</v>
      </c>
      <c r="D25" s="8"/>
      <c r="E25" s="8"/>
      <c r="F25" s="58"/>
      <c r="K25" t="s">
        <v>503</v>
      </c>
    </row>
    <row r="26" spans="1:14" ht="15.6" x14ac:dyDescent="0.3">
      <c r="A26" s="3"/>
      <c r="B26" s="3"/>
      <c r="C26" s="3">
        <f t="shared" si="0"/>
        <v>-3800000</v>
      </c>
      <c r="D26" s="8"/>
      <c r="E26" s="8"/>
      <c r="F26" s="58"/>
    </row>
    <row r="27" spans="1:14" ht="15.6" x14ac:dyDescent="0.3">
      <c r="A27" s="3"/>
      <c r="B27" s="3"/>
      <c r="C27" s="3">
        <f t="shared" si="0"/>
        <v>-3800000</v>
      </c>
      <c r="D27" s="8"/>
      <c r="E27" s="8"/>
      <c r="F27" s="58"/>
    </row>
    <row r="28" spans="1:14" ht="15.6" x14ac:dyDescent="0.3">
      <c r="A28" s="3"/>
      <c r="B28" s="3"/>
      <c r="C28" s="3">
        <f t="shared" si="0"/>
        <v>-3800000</v>
      </c>
      <c r="D28" s="8"/>
      <c r="E28" s="8"/>
      <c r="F28" s="58"/>
    </row>
    <row r="29" spans="1:14" ht="15.6" x14ac:dyDescent="0.3">
      <c r="A29" s="3"/>
      <c r="B29" s="3"/>
      <c r="C29" s="3">
        <f t="shared" si="0"/>
        <v>-3800000</v>
      </c>
      <c r="D29" s="7"/>
      <c r="E29" s="8"/>
      <c r="F29" s="58"/>
    </row>
    <row r="30" spans="1:14" ht="15.6" x14ac:dyDescent="0.3">
      <c r="A30" s="3"/>
      <c r="B30" s="3"/>
      <c r="C30" s="3">
        <f t="shared" si="0"/>
        <v>-3800000</v>
      </c>
      <c r="D30" s="7"/>
      <c r="E30" s="8"/>
      <c r="F30" s="58"/>
    </row>
    <row r="31" spans="1:14" ht="15.6" x14ac:dyDescent="0.3">
      <c r="A31" s="3"/>
      <c r="B31" s="3"/>
      <c r="C31" s="3">
        <f>IF(A31&gt;0,C30+A31-B31,C30-B31)</f>
        <v>-3800000</v>
      </c>
      <c r="D31" s="7"/>
      <c r="E31" s="8"/>
      <c r="F31" s="58"/>
    </row>
    <row r="32" spans="1:14" ht="15.6" x14ac:dyDescent="0.3">
      <c r="A32" s="3"/>
      <c r="B32" s="3"/>
      <c r="C32" s="3">
        <f t="shared" si="0"/>
        <v>-3800000</v>
      </c>
      <c r="D32" s="7"/>
      <c r="E32" s="8"/>
      <c r="F32" s="58"/>
    </row>
    <row r="33" spans="1:6" ht="15.6" x14ac:dyDescent="0.3">
      <c r="A33" s="3"/>
      <c r="B33" s="3"/>
      <c r="C33" s="3">
        <f t="shared" si="0"/>
        <v>-3800000</v>
      </c>
      <c r="D33" s="7"/>
      <c r="E33" s="8"/>
      <c r="F33" s="58"/>
    </row>
    <row r="34" spans="1:6" ht="15.6" x14ac:dyDescent="0.3">
      <c r="A34" s="3"/>
      <c r="B34" s="3"/>
      <c r="C34" s="3">
        <f t="shared" si="0"/>
        <v>-3800000</v>
      </c>
      <c r="D34" s="7"/>
      <c r="E34" s="8"/>
      <c r="F34" s="58"/>
    </row>
    <row r="35" spans="1:6" ht="15.6" x14ac:dyDescent="0.3">
      <c r="A35" s="3"/>
      <c r="B35" s="3"/>
      <c r="C35" s="3">
        <f t="shared" si="0"/>
        <v>-3800000</v>
      </c>
      <c r="D35" s="7"/>
      <c r="E35" s="8"/>
      <c r="F35" s="58"/>
    </row>
    <row r="36" spans="1:6" ht="15.6" x14ac:dyDescent="0.3">
      <c r="A36" s="3"/>
      <c r="B36" s="3"/>
      <c r="C36" s="3">
        <f>IF(A36&gt;0,C35+A36-B36,C35-B36)</f>
        <v>-3800000</v>
      </c>
      <c r="D36" s="7"/>
      <c r="E36" s="8"/>
      <c r="F36" s="58"/>
    </row>
    <row r="37" spans="1:6" ht="15.6" x14ac:dyDescent="0.3">
      <c r="A37" s="3"/>
      <c r="B37" s="3"/>
      <c r="C37" s="3">
        <f t="shared" si="0"/>
        <v>-3800000</v>
      </c>
      <c r="D37" s="7"/>
      <c r="E37" s="8"/>
      <c r="F37" s="58"/>
    </row>
    <row r="38" spans="1:6" ht="15.6" x14ac:dyDescent="0.3">
      <c r="A38" s="3"/>
      <c r="B38" s="3"/>
      <c r="C38" s="3">
        <f t="shared" si="0"/>
        <v>-3800000</v>
      </c>
      <c r="D38" s="7"/>
      <c r="E38" s="8"/>
      <c r="F38" s="58"/>
    </row>
    <row r="39" spans="1:6" ht="15.6" x14ac:dyDescent="0.3">
      <c r="A39" s="3"/>
      <c r="B39" s="3"/>
      <c r="C39" s="3">
        <f t="shared" si="0"/>
        <v>-3800000</v>
      </c>
      <c r="D39" s="7"/>
      <c r="E39" s="8"/>
      <c r="F39" s="58"/>
    </row>
    <row r="40" spans="1:6" ht="15.6" x14ac:dyDescent="0.3">
      <c r="A40" s="3"/>
      <c r="B40" s="3"/>
      <c r="C40" s="3">
        <f t="shared" si="0"/>
        <v>-3800000</v>
      </c>
      <c r="D40" s="7"/>
      <c r="E40" s="8"/>
      <c r="F40" s="58"/>
    </row>
    <row r="41" spans="1:6" ht="15.6" x14ac:dyDescent="0.3">
      <c r="A41" s="3"/>
      <c r="B41" s="3"/>
      <c r="C41" s="3">
        <f t="shared" si="0"/>
        <v>-3800000</v>
      </c>
      <c r="D41" s="7"/>
      <c r="E41" s="8"/>
      <c r="F41" s="58"/>
    </row>
    <row r="42" spans="1:6" ht="15.6" x14ac:dyDescent="0.3">
      <c r="A42" s="3"/>
      <c r="B42" s="3"/>
      <c r="C42" s="3">
        <f t="shared" si="0"/>
        <v>-3800000</v>
      </c>
      <c r="D42" s="7"/>
      <c r="E42" s="8"/>
      <c r="F42" s="58"/>
    </row>
    <row r="43" spans="1:6" ht="15.6" x14ac:dyDescent="0.3">
      <c r="A43" s="3"/>
      <c r="B43" s="3"/>
      <c r="C43" s="3">
        <f t="shared" si="0"/>
        <v>-3800000</v>
      </c>
      <c r="D43" s="7"/>
      <c r="E43" s="8"/>
      <c r="F43" s="58"/>
    </row>
    <row r="44" spans="1:6" ht="15.6" x14ac:dyDescent="0.3">
      <c r="A44" s="3"/>
      <c r="B44" s="3"/>
      <c r="C44" s="3">
        <f t="shared" si="0"/>
        <v>-3800000</v>
      </c>
      <c r="D44" s="7"/>
      <c r="E44" s="8"/>
      <c r="F44" s="58"/>
    </row>
    <row r="45" spans="1:6" ht="15.6" x14ac:dyDescent="0.3">
      <c r="A45" s="3"/>
      <c r="B45" s="3"/>
      <c r="C45" s="3">
        <f t="shared" si="0"/>
        <v>-3800000</v>
      </c>
      <c r="D45" s="7"/>
      <c r="E45" s="8"/>
      <c r="F45" s="58"/>
    </row>
    <row r="46" spans="1:6" ht="15.6" x14ac:dyDescent="0.3">
      <c r="A46" s="3"/>
      <c r="B46" s="3"/>
      <c r="C46" s="3">
        <f t="shared" si="0"/>
        <v>-3800000</v>
      </c>
      <c r="D46" s="7"/>
      <c r="E46" s="8"/>
      <c r="F46" s="58"/>
    </row>
    <row r="47" spans="1:6" ht="15.6" x14ac:dyDescent="0.3">
      <c r="A47" s="3"/>
      <c r="B47" s="3"/>
      <c r="C47" s="3">
        <f t="shared" si="0"/>
        <v>-3800000</v>
      </c>
      <c r="D47" s="7"/>
      <c r="E47" s="8"/>
      <c r="F47" s="58"/>
    </row>
    <row r="48" spans="1:6" ht="15.6" x14ac:dyDescent="0.3">
      <c r="A48" s="3"/>
      <c r="B48" s="3"/>
      <c r="C48" s="3">
        <f t="shared" si="0"/>
        <v>-3800000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-3800000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-3800000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-3800000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-3800000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-3800000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-3800000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-3800000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-3800000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-3800000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-3800000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-3800000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-3800000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-3800000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-3800000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-3800000</v>
      </c>
      <c r="D63" s="7"/>
      <c r="E63" s="8"/>
      <c r="F63" s="58"/>
    </row>
    <row r="64" spans="1:6" ht="15.6" x14ac:dyDescent="0.3">
      <c r="A64" s="3"/>
      <c r="B64" s="3"/>
      <c r="C64" s="3">
        <f t="shared" si="0"/>
        <v>-3800000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-3800000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-3800000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-3800000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-3800000</v>
      </c>
      <c r="D68" s="7"/>
      <c r="E68" s="8"/>
      <c r="F68" s="58"/>
    </row>
    <row r="69" spans="1:6" ht="15.6" x14ac:dyDescent="0.3">
      <c r="A69" s="3"/>
      <c r="B69" s="3"/>
      <c r="C69" s="3">
        <f t="shared" si="0"/>
        <v>-3800000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-3800000</v>
      </c>
      <c r="D70" s="52"/>
      <c r="E70" s="8"/>
      <c r="F70" s="58"/>
    </row>
    <row r="71" spans="1:6" ht="15.6" x14ac:dyDescent="0.3">
      <c r="A71" s="3"/>
      <c r="B71" s="3"/>
      <c r="C71" s="3">
        <f t="shared" ref="C71:C134" si="2">IF(A71&gt;0,C70+A71-B71,C70-B71)</f>
        <v>-3800000</v>
      </c>
      <c r="D71" s="7"/>
      <c r="E71" s="8"/>
      <c r="F71" s="58"/>
    </row>
    <row r="72" spans="1:6" ht="15.6" x14ac:dyDescent="0.3">
      <c r="A72" s="3"/>
      <c r="B72" s="3"/>
      <c r="C72" s="3">
        <f t="shared" si="2"/>
        <v>-3800000</v>
      </c>
      <c r="D72" s="7"/>
      <c r="E72" s="8"/>
      <c r="F72" s="58"/>
    </row>
    <row r="73" spans="1:6" ht="15.6" x14ac:dyDescent="0.3">
      <c r="A73" s="3"/>
      <c r="B73" s="3"/>
      <c r="C73" s="3">
        <f t="shared" si="2"/>
        <v>-3800000</v>
      </c>
      <c r="D73" s="7"/>
      <c r="E73" s="8"/>
      <c r="F73" s="58"/>
    </row>
    <row r="74" spans="1:6" ht="15.6" x14ac:dyDescent="0.3">
      <c r="A74" s="3"/>
      <c r="B74" s="3"/>
      <c r="C74" s="3">
        <f t="shared" si="2"/>
        <v>-3800000</v>
      </c>
      <c r="D74" s="7"/>
      <c r="E74" s="8"/>
      <c r="F74" s="58"/>
    </row>
    <row r="75" spans="1:6" ht="15.6" x14ac:dyDescent="0.3">
      <c r="A75" s="3"/>
      <c r="B75" s="3"/>
      <c r="C75" s="3">
        <f t="shared" si="2"/>
        <v>-3800000</v>
      </c>
      <c r="D75" s="7"/>
      <c r="E75" s="8"/>
      <c r="F75" s="58"/>
    </row>
    <row r="76" spans="1:6" ht="15.6" x14ac:dyDescent="0.3">
      <c r="A76" s="3"/>
      <c r="B76" s="3"/>
      <c r="C76" s="3">
        <f t="shared" si="2"/>
        <v>-3800000</v>
      </c>
      <c r="D76" s="7"/>
      <c r="E76" s="8"/>
      <c r="F76" s="58"/>
    </row>
    <row r="77" spans="1:6" ht="15.6" x14ac:dyDescent="0.3">
      <c r="A77" s="3"/>
      <c r="B77" s="3"/>
      <c r="C77" s="3">
        <f t="shared" si="2"/>
        <v>-3800000</v>
      </c>
      <c r="D77" s="7"/>
      <c r="E77" s="8"/>
      <c r="F77" s="58"/>
    </row>
    <row r="78" spans="1:6" ht="15.6" x14ac:dyDescent="0.3">
      <c r="A78" s="3"/>
      <c r="B78" s="3"/>
      <c r="C78" s="3">
        <f t="shared" si="2"/>
        <v>-3800000</v>
      </c>
      <c r="D78" s="7"/>
      <c r="E78" s="8"/>
      <c r="F78" s="58"/>
    </row>
    <row r="79" spans="1:6" ht="15.6" x14ac:dyDescent="0.3">
      <c r="A79" s="3"/>
      <c r="B79" s="3"/>
      <c r="C79" s="3">
        <f t="shared" si="2"/>
        <v>-3800000</v>
      </c>
      <c r="D79" s="7"/>
      <c r="E79" s="8"/>
      <c r="F79" s="58"/>
    </row>
    <row r="80" spans="1:6" ht="15.6" x14ac:dyDescent="0.3">
      <c r="A80" s="3"/>
      <c r="B80" s="3"/>
      <c r="C80" s="3">
        <f t="shared" si="2"/>
        <v>-3800000</v>
      </c>
      <c r="D80" s="7"/>
      <c r="E80" s="8"/>
      <c r="F80" s="58"/>
    </row>
    <row r="81" spans="1:6" ht="15.6" x14ac:dyDescent="0.3">
      <c r="A81" s="3"/>
      <c r="B81" s="3"/>
      <c r="C81" s="3">
        <f t="shared" si="2"/>
        <v>-3800000</v>
      </c>
      <c r="D81" s="7"/>
      <c r="E81" s="8"/>
      <c r="F81" s="58"/>
    </row>
    <row r="82" spans="1:6" ht="15.6" x14ac:dyDescent="0.3">
      <c r="A82" s="3"/>
      <c r="B82" s="3"/>
      <c r="C82" s="3">
        <f t="shared" si="2"/>
        <v>-3800000</v>
      </c>
      <c r="D82" s="7"/>
      <c r="E82" s="8"/>
      <c r="F82" s="58"/>
    </row>
    <row r="83" spans="1:6" ht="15.6" x14ac:dyDescent="0.3">
      <c r="A83" s="3"/>
      <c r="B83" s="3"/>
      <c r="C83" s="3">
        <f t="shared" si="2"/>
        <v>-3800000</v>
      </c>
      <c r="D83" s="7"/>
      <c r="E83" s="8"/>
      <c r="F83" s="58"/>
    </row>
    <row r="84" spans="1:6" ht="15.6" x14ac:dyDescent="0.3">
      <c r="A84" s="3"/>
      <c r="B84" s="3"/>
      <c r="C84" s="3">
        <f t="shared" si="2"/>
        <v>-3800000</v>
      </c>
      <c r="D84" s="7"/>
      <c r="E84" s="8"/>
      <c r="F84" s="58"/>
    </row>
    <row r="85" spans="1:6" ht="15.6" x14ac:dyDescent="0.3">
      <c r="A85" s="3"/>
      <c r="B85" s="3"/>
      <c r="C85" s="3">
        <f t="shared" si="2"/>
        <v>-3800000</v>
      </c>
      <c r="D85" s="7"/>
      <c r="E85" s="8"/>
      <c r="F85" s="58"/>
    </row>
    <row r="86" spans="1:6" ht="15.6" x14ac:dyDescent="0.3">
      <c r="A86" s="3"/>
      <c r="B86" s="3"/>
      <c r="C86" s="3">
        <f t="shared" si="2"/>
        <v>-3800000</v>
      </c>
      <c r="D86" s="7"/>
      <c r="E86" s="8"/>
      <c r="F86" s="58"/>
    </row>
    <row r="87" spans="1:6" ht="15.6" x14ac:dyDescent="0.3">
      <c r="A87" s="3"/>
      <c r="B87" s="3"/>
      <c r="C87" s="3">
        <f t="shared" si="2"/>
        <v>-3800000</v>
      </c>
      <c r="D87" s="7"/>
      <c r="E87" s="8"/>
      <c r="F87" s="58"/>
    </row>
    <row r="88" spans="1:6" ht="15.6" x14ac:dyDescent="0.3">
      <c r="A88" s="3"/>
      <c r="B88" s="3"/>
      <c r="C88" s="3">
        <f t="shared" si="2"/>
        <v>-3800000</v>
      </c>
      <c r="D88" s="7"/>
      <c r="E88" s="8"/>
      <c r="F88" s="58"/>
    </row>
    <row r="89" spans="1:6" ht="15.6" x14ac:dyDescent="0.3">
      <c r="A89" s="3"/>
      <c r="B89" s="3"/>
      <c r="C89" s="3">
        <f t="shared" si="2"/>
        <v>-3800000</v>
      </c>
      <c r="D89" s="7"/>
      <c r="E89" s="8"/>
      <c r="F89" s="7"/>
    </row>
    <row r="90" spans="1:6" ht="15.6" x14ac:dyDescent="0.3">
      <c r="A90" s="3"/>
      <c r="B90" s="3"/>
      <c r="C90" s="3">
        <f t="shared" si="2"/>
        <v>-3800000</v>
      </c>
      <c r="D90" s="7"/>
      <c r="E90" s="8"/>
      <c r="F90" s="7"/>
    </row>
    <row r="91" spans="1:6" ht="15.6" x14ac:dyDescent="0.3">
      <c r="A91" s="3"/>
      <c r="B91" s="3"/>
      <c r="C91" s="3">
        <f t="shared" si="2"/>
        <v>-3800000</v>
      </c>
      <c r="D91" s="7"/>
      <c r="E91" s="8"/>
      <c r="F91" s="7"/>
    </row>
    <row r="92" spans="1:6" ht="15.6" x14ac:dyDescent="0.3">
      <c r="A92" s="3"/>
      <c r="B92" s="3"/>
      <c r="C92" s="3">
        <f t="shared" si="2"/>
        <v>-3800000</v>
      </c>
      <c r="D92" s="7"/>
      <c r="E92" s="8"/>
      <c r="F92" s="7"/>
    </row>
    <row r="93" spans="1:6" ht="15.6" x14ac:dyDescent="0.3">
      <c r="A93" s="3"/>
      <c r="B93" s="3"/>
      <c r="C93" s="3">
        <f t="shared" si="2"/>
        <v>-3800000</v>
      </c>
      <c r="D93" s="7"/>
      <c r="E93" s="8"/>
      <c r="F93" s="7"/>
    </row>
    <row r="94" spans="1:6" ht="15.6" x14ac:dyDescent="0.3">
      <c r="A94" s="3"/>
      <c r="B94" s="3"/>
      <c r="C94" s="3">
        <f t="shared" si="2"/>
        <v>-3800000</v>
      </c>
      <c r="D94" s="7"/>
      <c r="E94" s="8"/>
      <c r="F94" s="7"/>
    </row>
    <row r="95" spans="1:6" ht="15.6" x14ac:dyDescent="0.3">
      <c r="A95" s="3"/>
      <c r="B95" s="3"/>
      <c r="C95" s="3">
        <f t="shared" si="2"/>
        <v>-3800000</v>
      </c>
      <c r="D95" s="7"/>
      <c r="E95" s="8"/>
      <c r="F95" s="7"/>
    </row>
    <row r="96" spans="1:6" ht="15.6" x14ac:dyDescent="0.3">
      <c r="A96" s="3"/>
      <c r="B96" s="3"/>
      <c r="C96" s="3">
        <f t="shared" si="2"/>
        <v>-3800000</v>
      </c>
      <c r="D96" s="7"/>
      <c r="E96" s="8"/>
      <c r="F96" s="7"/>
    </row>
    <row r="97" spans="1:6" ht="15.6" x14ac:dyDescent="0.3">
      <c r="A97" s="3"/>
      <c r="B97" s="3"/>
      <c r="C97" s="3">
        <f t="shared" si="2"/>
        <v>-3800000</v>
      </c>
      <c r="D97" s="7"/>
      <c r="E97" s="8"/>
      <c r="F97" s="7"/>
    </row>
    <row r="98" spans="1:6" ht="15.6" x14ac:dyDescent="0.3">
      <c r="A98" s="3"/>
      <c r="B98" s="3"/>
      <c r="C98" s="3">
        <f t="shared" si="2"/>
        <v>-3800000</v>
      </c>
      <c r="D98" s="7"/>
      <c r="E98" s="8"/>
      <c r="F98" s="7"/>
    </row>
    <row r="99" spans="1:6" ht="15.6" x14ac:dyDescent="0.3">
      <c r="A99" s="3"/>
      <c r="B99" s="3"/>
      <c r="C99" s="3">
        <f t="shared" si="2"/>
        <v>-3800000</v>
      </c>
      <c r="D99" s="7"/>
      <c r="E99" s="8"/>
      <c r="F99" s="7"/>
    </row>
    <row r="100" spans="1:6" ht="15.6" x14ac:dyDescent="0.3">
      <c r="A100" s="3"/>
      <c r="B100" s="3"/>
      <c r="C100" s="3">
        <f t="shared" si="2"/>
        <v>-3800000</v>
      </c>
      <c r="D100" s="7"/>
      <c r="E100" s="8"/>
      <c r="F100" s="7"/>
    </row>
    <row r="101" spans="1:6" ht="15.6" x14ac:dyDescent="0.3">
      <c r="A101" s="3"/>
      <c r="B101" s="3"/>
      <c r="C101" s="3">
        <f t="shared" si="2"/>
        <v>-3800000</v>
      </c>
      <c r="D101" s="7"/>
      <c r="E101" s="8"/>
      <c r="F101" s="7"/>
    </row>
    <row r="102" spans="1:6" ht="15.6" x14ac:dyDescent="0.3">
      <c r="A102" s="3"/>
      <c r="B102" s="3"/>
      <c r="C102" s="3">
        <f t="shared" si="2"/>
        <v>-3800000</v>
      </c>
      <c r="D102" s="7"/>
      <c r="E102" s="8"/>
      <c r="F102" s="7"/>
    </row>
    <row r="103" spans="1:6" ht="15.6" x14ac:dyDescent="0.3">
      <c r="A103" s="3"/>
      <c r="B103" s="3"/>
      <c r="C103" s="3">
        <f t="shared" si="2"/>
        <v>-3800000</v>
      </c>
      <c r="D103" s="7"/>
      <c r="E103" s="8"/>
      <c r="F103" s="7"/>
    </row>
    <row r="104" spans="1:6" ht="15.6" x14ac:dyDescent="0.3">
      <c r="A104" s="3"/>
      <c r="B104" s="3"/>
      <c r="C104" s="3">
        <f t="shared" si="2"/>
        <v>-3800000</v>
      </c>
      <c r="D104" s="7"/>
      <c r="E104" s="8"/>
      <c r="F104" s="7"/>
    </row>
    <row r="105" spans="1:6" ht="15.6" x14ac:dyDescent="0.3">
      <c r="A105" s="3"/>
      <c r="B105" s="3"/>
      <c r="C105" s="3">
        <f t="shared" si="2"/>
        <v>-3800000</v>
      </c>
      <c r="D105" s="7"/>
      <c r="E105" s="8"/>
      <c r="F105" s="7"/>
    </row>
    <row r="106" spans="1:6" ht="15.6" x14ac:dyDescent="0.3">
      <c r="A106" s="3"/>
      <c r="B106" s="3"/>
      <c r="C106" s="3">
        <f t="shared" si="2"/>
        <v>-3800000</v>
      </c>
      <c r="D106" s="7"/>
      <c r="E106" s="8"/>
      <c r="F106" s="7"/>
    </row>
    <row r="107" spans="1:6" ht="15.6" x14ac:dyDescent="0.3">
      <c r="A107" s="3"/>
      <c r="B107" s="3"/>
      <c r="C107" s="3">
        <f t="shared" si="2"/>
        <v>-3800000</v>
      </c>
      <c r="D107" s="7"/>
      <c r="E107" s="8"/>
      <c r="F107" s="7"/>
    </row>
    <row r="108" spans="1:6" ht="15.6" x14ac:dyDescent="0.3">
      <c r="A108" s="3"/>
      <c r="B108" s="3"/>
      <c r="C108" s="3">
        <f t="shared" si="2"/>
        <v>-3800000</v>
      </c>
      <c r="D108" s="7"/>
      <c r="E108" s="8"/>
      <c r="F108" s="7"/>
    </row>
    <row r="109" spans="1:6" ht="15.6" x14ac:dyDescent="0.3">
      <c r="A109" s="3"/>
      <c r="B109" s="3"/>
      <c r="C109" s="3">
        <f t="shared" si="2"/>
        <v>-3800000</v>
      </c>
      <c r="D109" s="7"/>
      <c r="E109" s="8"/>
      <c r="F109" s="7"/>
    </row>
    <row r="110" spans="1:6" ht="15.6" x14ac:dyDescent="0.3">
      <c r="A110" s="3"/>
      <c r="B110" s="3"/>
      <c r="C110" s="3">
        <f t="shared" si="2"/>
        <v>-3800000</v>
      </c>
      <c r="D110" s="7"/>
      <c r="E110" s="8"/>
      <c r="F110" s="7"/>
    </row>
    <row r="111" spans="1:6" ht="15.6" x14ac:dyDescent="0.3">
      <c r="A111" s="3"/>
      <c r="B111" s="3"/>
      <c r="C111" s="3">
        <f t="shared" si="2"/>
        <v>-3800000</v>
      </c>
      <c r="D111" s="7"/>
      <c r="E111" s="8"/>
      <c r="F111" s="7"/>
    </row>
    <row r="112" spans="1:6" ht="15.6" x14ac:dyDescent="0.3">
      <c r="A112" s="3"/>
      <c r="B112" s="3"/>
      <c r="C112" s="3">
        <f t="shared" si="2"/>
        <v>-3800000</v>
      </c>
      <c r="D112" s="7"/>
      <c r="E112" s="8"/>
      <c r="F112" s="7"/>
    </row>
    <row r="113" spans="1:6" ht="15.6" x14ac:dyDescent="0.3">
      <c r="A113" s="3"/>
      <c r="B113" s="3"/>
      <c r="C113" s="3">
        <f t="shared" si="2"/>
        <v>-3800000</v>
      </c>
      <c r="D113" s="7"/>
      <c r="E113" s="8"/>
      <c r="F113" s="7"/>
    </row>
    <row r="114" spans="1:6" ht="15.6" x14ac:dyDescent="0.3">
      <c r="A114" s="3"/>
      <c r="B114" s="3"/>
      <c r="C114" s="3">
        <f t="shared" si="2"/>
        <v>-3800000</v>
      </c>
      <c r="D114" s="7"/>
      <c r="E114" s="8"/>
      <c r="F114" s="7"/>
    </row>
    <row r="115" spans="1:6" ht="15.6" x14ac:dyDescent="0.3">
      <c r="A115" s="3"/>
      <c r="B115" s="3"/>
      <c r="C115" s="3">
        <f t="shared" si="2"/>
        <v>-3800000</v>
      </c>
      <c r="D115" s="7"/>
      <c r="E115" s="8"/>
      <c r="F115" s="7"/>
    </row>
    <row r="116" spans="1:6" ht="15.6" x14ac:dyDescent="0.3">
      <c r="A116" s="3"/>
      <c r="B116" s="3"/>
      <c r="C116" s="3">
        <f t="shared" si="2"/>
        <v>-3800000</v>
      </c>
      <c r="D116" s="7"/>
      <c r="E116" s="8"/>
      <c r="F116" s="7"/>
    </row>
    <row r="117" spans="1:6" ht="15.6" x14ac:dyDescent="0.3">
      <c r="A117" s="3"/>
      <c r="B117" s="3"/>
      <c r="C117" s="3">
        <f t="shared" si="2"/>
        <v>-3800000</v>
      </c>
      <c r="D117" s="7"/>
      <c r="E117" s="8"/>
      <c r="F117" s="7"/>
    </row>
    <row r="118" spans="1:6" ht="15.6" x14ac:dyDescent="0.3">
      <c r="A118" s="3"/>
      <c r="B118" s="3"/>
      <c r="C118" s="3">
        <f t="shared" si="2"/>
        <v>-3800000</v>
      </c>
      <c r="D118" s="7"/>
      <c r="E118" s="8"/>
      <c r="F118" s="7"/>
    </row>
    <row r="119" spans="1:6" ht="15.6" x14ac:dyDescent="0.3">
      <c r="A119" s="3"/>
      <c r="B119" s="3"/>
      <c r="C119" s="3">
        <f t="shared" si="2"/>
        <v>-3800000</v>
      </c>
      <c r="D119" s="7"/>
      <c r="E119" s="8"/>
      <c r="F119" s="7"/>
    </row>
    <row r="120" spans="1:6" ht="15.6" x14ac:dyDescent="0.3">
      <c r="A120" s="3"/>
      <c r="B120" s="3"/>
      <c r="C120" s="3">
        <f t="shared" si="2"/>
        <v>-3800000</v>
      </c>
      <c r="D120" s="7"/>
      <c r="E120" s="8"/>
      <c r="F120" s="7"/>
    </row>
    <row r="121" spans="1:6" ht="15.6" x14ac:dyDescent="0.3">
      <c r="A121" s="3"/>
      <c r="B121" s="3"/>
      <c r="C121" s="3">
        <f t="shared" si="2"/>
        <v>-3800000</v>
      </c>
      <c r="D121" s="7"/>
      <c r="E121" s="8"/>
      <c r="F121" s="7"/>
    </row>
    <row r="122" spans="1:6" ht="15.6" x14ac:dyDescent="0.3">
      <c r="A122" s="3"/>
      <c r="B122" s="3"/>
      <c r="C122" s="3">
        <f t="shared" si="2"/>
        <v>-3800000</v>
      </c>
      <c r="D122" s="7"/>
      <c r="E122" s="8"/>
      <c r="F122" s="7"/>
    </row>
    <row r="123" spans="1:6" ht="15.6" x14ac:dyDescent="0.3">
      <c r="A123" s="3"/>
      <c r="B123" s="3"/>
      <c r="C123" s="3">
        <f t="shared" si="2"/>
        <v>-3800000</v>
      </c>
      <c r="D123" s="7"/>
      <c r="E123" s="8"/>
      <c r="F123" s="7"/>
    </row>
    <row r="124" spans="1:6" ht="15.6" x14ac:dyDescent="0.3">
      <c r="A124" s="3"/>
      <c r="B124" s="3"/>
      <c r="C124" s="3">
        <f t="shared" si="2"/>
        <v>-3800000</v>
      </c>
      <c r="D124" s="7"/>
      <c r="E124" s="8"/>
      <c r="F124" s="7"/>
    </row>
    <row r="125" spans="1:6" ht="15.6" x14ac:dyDescent="0.3">
      <c r="A125" s="3"/>
      <c r="B125" s="3"/>
      <c r="C125" s="3">
        <f t="shared" si="2"/>
        <v>-3800000</v>
      </c>
      <c r="D125" s="7"/>
      <c r="E125" s="8"/>
      <c r="F125" s="7"/>
    </row>
    <row r="126" spans="1:6" ht="15.6" x14ac:dyDescent="0.3">
      <c r="A126" s="3"/>
      <c r="B126" s="3"/>
      <c r="C126" s="3">
        <f t="shared" si="2"/>
        <v>-3800000</v>
      </c>
      <c r="D126" s="7"/>
      <c r="E126" s="8"/>
      <c r="F126" s="7"/>
    </row>
    <row r="127" spans="1:6" ht="15.6" x14ac:dyDescent="0.3">
      <c r="A127" s="3"/>
      <c r="B127" s="3"/>
      <c r="C127" s="3">
        <f t="shared" si="2"/>
        <v>-3800000</v>
      </c>
      <c r="D127" s="7"/>
      <c r="E127" s="8"/>
      <c r="F127" s="7"/>
    </row>
    <row r="128" spans="1:6" ht="15.6" x14ac:dyDescent="0.3">
      <c r="A128" s="3"/>
      <c r="B128" s="3"/>
      <c r="C128" s="3">
        <f t="shared" si="2"/>
        <v>-3800000</v>
      </c>
      <c r="D128" s="7"/>
      <c r="E128" s="8"/>
      <c r="F128" s="7"/>
    </row>
    <row r="129" spans="1:6" ht="15.6" x14ac:dyDescent="0.3">
      <c r="A129" s="3"/>
      <c r="B129" s="3"/>
      <c r="C129" s="3">
        <f t="shared" si="2"/>
        <v>-3800000</v>
      </c>
      <c r="D129" s="7"/>
      <c r="E129" s="8"/>
      <c r="F129" s="7"/>
    </row>
    <row r="130" spans="1:6" ht="15.6" x14ac:dyDescent="0.3">
      <c r="A130" s="3"/>
      <c r="B130" s="3"/>
      <c r="C130" s="3">
        <f t="shared" si="2"/>
        <v>-3800000</v>
      </c>
      <c r="D130" s="7"/>
      <c r="E130" s="8"/>
      <c r="F130" s="7"/>
    </row>
    <row r="131" spans="1:6" ht="15.6" x14ac:dyDescent="0.3">
      <c r="A131" s="3"/>
      <c r="B131" s="3"/>
      <c r="C131" s="3">
        <f t="shared" si="2"/>
        <v>-3800000</v>
      </c>
      <c r="D131" s="7"/>
      <c r="E131" s="8"/>
      <c r="F131" s="7"/>
    </row>
    <row r="132" spans="1:6" ht="15.6" x14ac:dyDescent="0.3">
      <c r="A132" s="3"/>
      <c r="B132" s="3"/>
      <c r="C132" s="3">
        <f t="shared" si="2"/>
        <v>-3800000</v>
      </c>
      <c r="D132" s="7"/>
      <c r="E132" s="8"/>
      <c r="F132" s="7"/>
    </row>
    <row r="133" spans="1:6" ht="15.6" x14ac:dyDescent="0.3">
      <c r="A133" s="3"/>
      <c r="B133" s="3"/>
      <c r="C133" s="3">
        <f t="shared" si="2"/>
        <v>-3800000</v>
      </c>
      <c r="D133" s="7"/>
      <c r="E133" s="8"/>
      <c r="F133" s="7"/>
    </row>
    <row r="134" spans="1:6" ht="15.6" x14ac:dyDescent="0.3">
      <c r="A134" s="3"/>
      <c r="B134" s="3"/>
      <c r="C134" s="3">
        <f t="shared" si="2"/>
        <v>-3800000</v>
      </c>
      <c r="D134" s="7"/>
      <c r="E134" s="8"/>
      <c r="F134" s="7"/>
    </row>
    <row r="135" spans="1:6" ht="15.6" x14ac:dyDescent="0.3">
      <c r="A135" s="3"/>
      <c r="B135" s="3"/>
      <c r="C135" s="3">
        <f t="shared" ref="C135:C152" si="3">IF(A135&gt;0,C134+A135-B135,C134-B135)</f>
        <v>-3800000</v>
      </c>
      <c r="D135" s="7"/>
      <c r="E135" s="8"/>
      <c r="F135" s="7"/>
    </row>
    <row r="136" spans="1:6" ht="15.6" x14ac:dyDescent="0.3">
      <c r="A136" s="3"/>
      <c r="B136" s="3"/>
      <c r="C136" s="3">
        <f t="shared" si="3"/>
        <v>-3800000</v>
      </c>
      <c r="D136" s="7"/>
      <c r="E136" s="8"/>
      <c r="F136" s="7"/>
    </row>
    <row r="137" spans="1:6" ht="15.6" x14ac:dyDescent="0.3">
      <c r="A137" s="3"/>
      <c r="B137" s="3"/>
      <c r="C137" s="3">
        <f t="shared" si="3"/>
        <v>-3800000</v>
      </c>
      <c r="D137" s="7"/>
      <c r="E137" s="8"/>
      <c r="F137" s="7"/>
    </row>
    <row r="138" spans="1:6" ht="15.6" x14ac:dyDescent="0.3">
      <c r="A138" s="3"/>
      <c r="B138" s="3"/>
      <c r="C138" s="3">
        <f t="shared" si="3"/>
        <v>-3800000</v>
      </c>
      <c r="D138" s="7"/>
      <c r="E138" s="8"/>
      <c r="F138" s="7"/>
    </row>
    <row r="139" spans="1:6" ht="15.6" x14ac:dyDescent="0.3">
      <c r="A139" s="3"/>
      <c r="B139" s="3"/>
      <c r="C139" s="3">
        <f t="shared" si="3"/>
        <v>-3800000</v>
      </c>
      <c r="D139" s="7"/>
      <c r="E139" s="8"/>
      <c r="F139" s="7"/>
    </row>
    <row r="140" spans="1:6" ht="15.6" x14ac:dyDescent="0.3">
      <c r="A140" s="3"/>
      <c r="B140" s="3"/>
      <c r="C140" s="3">
        <f t="shared" si="3"/>
        <v>-3800000</v>
      </c>
      <c r="D140" s="7"/>
      <c r="E140" s="8"/>
      <c r="F140" s="7"/>
    </row>
    <row r="141" spans="1:6" ht="15.6" x14ac:dyDescent="0.3">
      <c r="A141" s="3"/>
      <c r="B141" s="3"/>
      <c r="C141" s="3">
        <f t="shared" si="3"/>
        <v>-3800000</v>
      </c>
      <c r="D141" s="7"/>
      <c r="E141" s="8"/>
      <c r="F141" s="7"/>
    </row>
    <row r="142" spans="1:6" ht="15.6" x14ac:dyDescent="0.3">
      <c r="A142" s="3"/>
      <c r="B142" s="3"/>
      <c r="C142" s="3">
        <f t="shared" si="3"/>
        <v>-3800000</v>
      </c>
      <c r="D142" s="7"/>
      <c r="E142" s="8"/>
      <c r="F142" s="7"/>
    </row>
    <row r="143" spans="1:6" ht="15.6" x14ac:dyDescent="0.3">
      <c r="A143" s="3"/>
      <c r="B143" s="3"/>
      <c r="C143" s="3">
        <f t="shared" si="3"/>
        <v>-3800000</v>
      </c>
      <c r="D143" s="7"/>
      <c r="E143" s="8"/>
      <c r="F143" s="7"/>
    </row>
    <row r="144" spans="1:6" ht="15.6" x14ac:dyDescent="0.3">
      <c r="A144" s="3"/>
      <c r="B144" s="3"/>
      <c r="C144" s="3">
        <f t="shared" si="3"/>
        <v>-3800000</v>
      </c>
      <c r="D144" s="7"/>
      <c r="E144" s="8"/>
      <c r="F144" s="7"/>
    </row>
    <row r="145" spans="1:6" ht="15.6" x14ac:dyDescent="0.3">
      <c r="A145" s="3"/>
      <c r="B145" s="3"/>
      <c r="C145" s="3">
        <f t="shared" si="3"/>
        <v>-3800000</v>
      </c>
      <c r="D145" s="7"/>
      <c r="E145" s="8"/>
      <c r="F145" s="7"/>
    </row>
    <row r="146" spans="1:6" ht="15.6" x14ac:dyDescent="0.3">
      <c r="A146" s="3"/>
      <c r="B146" s="3"/>
      <c r="C146" s="3">
        <f t="shared" si="3"/>
        <v>-3800000</v>
      </c>
      <c r="D146" s="7"/>
      <c r="E146" s="8"/>
      <c r="F146" s="7"/>
    </row>
    <row r="147" spans="1:6" ht="15.6" x14ac:dyDescent="0.3">
      <c r="A147" s="3"/>
      <c r="B147" s="3"/>
      <c r="C147" s="3">
        <f t="shared" si="3"/>
        <v>-3800000</v>
      </c>
      <c r="D147" s="7"/>
      <c r="E147" s="8"/>
      <c r="F147" s="7"/>
    </row>
    <row r="148" spans="1:6" ht="15.6" x14ac:dyDescent="0.3">
      <c r="A148" s="3"/>
      <c r="B148" s="3"/>
      <c r="C148" s="3">
        <f t="shared" si="3"/>
        <v>-3800000</v>
      </c>
      <c r="D148" s="7"/>
      <c r="E148" s="8"/>
      <c r="F148" s="7"/>
    </row>
    <row r="149" spans="1:6" ht="15.6" x14ac:dyDescent="0.3">
      <c r="A149" s="3"/>
      <c r="B149" s="3"/>
      <c r="C149" s="3">
        <f t="shared" si="3"/>
        <v>-3800000</v>
      </c>
      <c r="D149" s="7"/>
      <c r="E149" s="8"/>
      <c r="F149" s="7"/>
    </row>
    <row r="150" spans="1:6" ht="15.6" x14ac:dyDescent="0.3">
      <c r="A150" s="3"/>
      <c r="B150" s="3"/>
      <c r="C150" s="3">
        <f t="shared" si="3"/>
        <v>-3800000</v>
      </c>
      <c r="D150" s="7"/>
      <c r="E150" s="8"/>
      <c r="F150" s="7"/>
    </row>
    <row r="151" spans="1:6" ht="15.6" x14ac:dyDescent="0.3">
      <c r="A151" s="3"/>
      <c r="B151" s="3"/>
      <c r="C151" s="3">
        <f t="shared" si="3"/>
        <v>-3800000</v>
      </c>
      <c r="D151" s="7"/>
      <c r="E151" s="8"/>
      <c r="F151" s="7"/>
    </row>
    <row r="152" spans="1:6" ht="15.6" x14ac:dyDescent="0.3">
      <c r="A152" s="3"/>
      <c r="B152" s="3"/>
      <c r="C152" s="3">
        <f t="shared" si="3"/>
        <v>-3800000</v>
      </c>
      <c r="D152" s="7"/>
      <c r="E152" s="8"/>
      <c r="F152" s="7"/>
    </row>
  </sheetData>
  <mergeCells count="2">
    <mergeCell ref="A3:C3"/>
    <mergeCell ref="K7:M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2"/>
  <sheetViews>
    <sheetView rightToLeft="1" zoomScale="115" zoomScaleNormal="115" workbookViewId="0">
      <pane ySplit="5" topLeftCell="A16" activePane="bottomLeft" state="frozen"/>
      <selection pane="bottomLeft" activeCell="A23" sqref="A23"/>
    </sheetView>
  </sheetViews>
  <sheetFormatPr defaultColWidth="9" defaultRowHeight="14.4" x14ac:dyDescent="0.3"/>
  <cols>
    <col min="1" max="1" width="11.33203125" customWidth="1"/>
    <col min="2" max="2" width="11.88671875" customWidth="1"/>
    <col min="3" max="3" width="12.6640625" customWidth="1"/>
    <col min="4" max="4" width="31.44140625" bestFit="1" customWidth="1"/>
    <col min="5" max="5" width="20.44140625" bestFit="1" customWidth="1"/>
    <col min="8" max="8" width="9.109375" bestFit="1" customWidth="1"/>
    <col min="9" max="9" width="11" bestFit="1" customWidth="1"/>
    <col min="10" max="10" width="17.44140625" bestFit="1" customWidth="1"/>
    <col min="11" max="11" width="15.5546875" bestFit="1" customWidth="1"/>
    <col min="12" max="12" width="17.44140625" bestFit="1" customWidth="1"/>
  </cols>
  <sheetData>
    <row r="1" spans="1:13" ht="15.6" x14ac:dyDescent="0.3">
      <c r="A1" s="1"/>
      <c r="B1" s="1"/>
      <c r="C1" s="1"/>
      <c r="D1" s="1"/>
      <c r="E1" s="2"/>
      <c r="F1" s="1"/>
    </row>
    <row r="2" spans="1:13" ht="15.6" x14ac:dyDescent="0.3">
      <c r="A2" s="3">
        <f>SUBTOTAL(9,A5:A152)</f>
        <v>3838000</v>
      </c>
      <c r="B2" s="3">
        <f>SUBTOTAL(9,B5:B152)</f>
        <v>4150000</v>
      </c>
      <c r="C2" s="3">
        <f>A2-B2</f>
        <v>-312000</v>
      </c>
      <c r="D2" s="1"/>
      <c r="E2" s="2"/>
      <c r="F2" s="1"/>
    </row>
    <row r="3" spans="1:13" ht="29.25" customHeight="1" x14ac:dyDescent="0.3">
      <c r="A3" s="273" t="s">
        <v>349</v>
      </c>
      <c r="B3" s="274"/>
      <c r="C3" s="275"/>
      <c r="D3" s="5"/>
      <c r="E3" s="6"/>
      <c r="F3" s="6"/>
    </row>
    <row r="4" spans="1:13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3" ht="0.75" customHeight="1" x14ac:dyDescent="0.3">
      <c r="A5" s="7"/>
      <c r="B5" s="7"/>
      <c r="C5" s="7">
        <v>0</v>
      </c>
      <c r="D5" s="7"/>
      <c r="E5" s="8"/>
      <c r="F5" s="7"/>
    </row>
    <row r="6" spans="1:13" ht="15.6" x14ac:dyDescent="0.3">
      <c r="A6" s="80"/>
      <c r="B6" s="80">
        <v>1150000</v>
      </c>
      <c r="C6" s="4">
        <f>IF(A6&gt;0,C5+A6-B6,C5-B6)</f>
        <v>-1150000</v>
      </c>
      <c r="D6" s="48" t="s">
        <v>350</v>
      </c>
      <c r="E6" s="82">
        <v>45779</v>
      </c>
      <c r="F6" s="112"/>
      <c r="H6" s="1"/>
      <c r="I6" s="1"/>
      <c r="J6" s="277"/>
      <c r="K6" s="277"/>
      <c r="L6" s="45"/>
      <c r="M6" s="1"/>
    </row>
    <row r="7" spans="1:13" ht="15.6" x14ac:dyDescent="0.3">
      <c r="A7" s="64"/>
      <c r="B7" s="80">
        <v>900000</v>
      </c>
      <c r="C7" s="4">
        <f t="shared" ref="C7:C9" si="0">IF(A7&gt;0,C6+A7-B7,C6-B7)</f>
        <v>-2050000</v>
      </c>
      <c r="D7" s="48" t="s">
        <v>351</v>
      </c>
      <c r="E7" s="82">
        <v>45779</v>
      </c>
      <c r="F7" s="112"/>
      <c r="H7" s="6"/>
      <c r="I7" s="5" t="s">
        <v>37</v>
      </c>
      <c r="J7" s="6" t="s">
        <v>352</v>
      </c>
      <c r="K7" s="273" t="s">
        <v>353</v>
      </c>
      <c r="L7" s="274"/>
      <c r="M7" s="275"/>
    </row>
    <row r="8" spans="1:13" ht="15.6" x14ac:dyDescent="0.3">
      <c r="A8" s="36">
        <v>250000</v>
      </c>
      <c r="B8" s="83"/>
      <c r="C8" s="3">
        <f t="shared" si="0"/>
        <v>-1800000</v>
      </c>
      <c r="D8" s="75" t="s">
        <v>28</v>
      </c>
      <c r="E8" s="8">
        <v>45778</v>
      </c>
      <c r="F8" s="58"/>
      <c r="H8" s="92" t="s">
        <v>40</v>
      </c>
      <c r="I8" s="7" t="s">
        <v>6</v>
      </c>
      <c r="J8" s="41" t="s">
        <v>41</v>
      </c>
      <c r="K8" s="41" t="s">
        <v>42</v>
      </c>
      <c r="L8" s="7" t="s">
        <v>442</v>
      </c>
      <c r="M8" s="101" t="s">
        <v>7</v>
      </c>
    </row>
    <row r="9" spans="1:13" ht="15.6" x14ac:dyDescent="0.3">
      <c r="A9" s="36">
        <v>250000</v>
      </c>
      <c r="B9" s="84"/>
      <c r="C9" s="3">
        <f t="shared" si="0"/>
        <v>-1550000</v>
      </c>
      <c r="D9" s="75" t="s">
        <v>28</v>
      </c>
      <c r="E9" s="8" t="s">
        <v>366</v>
      </c>
      <c r="F9" s="58"/>
      <c r="H9" s="92"/>
      <c r="I9" s="7"/>
      <c r="J9" s="41">
        <f>1150000</f>
        <v>1150000</v>
      </c>
      <c r="K9" s="41"/>
      <c r="L9" s="41">
        <f>J9</f>
        <v>1150000</v>
      </c>
      <c r="M9" s="101" t="s">
        <v>350</v>
      </c>
    </row>
    <row r="10" spans="1:13" ht="15.6" x14ac:dyDescent="0.3">
      <c r="A10" s="36">
        <v>350000</v>
      </c>
      <c r="B10" s="83"/>
      <c r="C10" s="3">
        <f t="shared" ref="C10" si="1">IF(A10&gt;0,C9+A10-B10,C9-B10)</f>
        <v>-1200000</v>
      </c>
      <c r="D10" s="75" t="s">
        <v>28</v>
      </c>
      <c r="E10" s="8" t="s">
        <v>360</v>
      </c>
      <c r="F10" s="58"/>
      <c r="H10" s="92"/>
      <c r="I10" s="7"/>
      <c r="J10" s="41">
        <v>900000</v>
      </c>
      <c r="K10" s="41"/>
      <c r="L10" s="41">
        <f>J10+J9</f>
        <v>2050000</v>
      </c>
      <c r="M10" s="101" t="s">
        <v>351</v>
      </c>
    </row>
    <row r="11" spans="1:13" ht="15.6" x14ac:dyDescent="0.3">
      <c r="A11" s="124">
        <v>38000</v>
      </c>
      <c r="B11" s="124"/>
      <c r="C11" s="59">
        <f t="shared" ref="C11:C70" si="2">IF(A11&gt;0,C10+A11-B11,C10-B11)</f>
        <v>-1162000</v>
      </c>
      <c r="D11" s="125" t="s">
        <v>371</v>
      </c>
      <c r="E11" s="62" t="s">
        <v>360</v>
      </c>
      <c r="F11" s="58"/>
      <c r="H11" s="92"/>
      <c r="I11" s="8"/>
      <c r="J11" s="41"/>
      <c r="K11" s="41">
        <v>250000</v>
      </c>
      <c r="L11" s="7">
        <f>L10-K11</f>
        <v>1800000</v>
      </c>
      <c r="M11" s="101" t="s">
        <v>122</v>
      </c>
    </row>
    <row r="12" spans="1:13" ht="15.6" x14ac:dyDescent="0.3">
      <c r="A12" s="83">
        <v>350000</v>
      </c>
      <c r="B12" s="83"/>
      <c r="C12" s="3">
        <f t="shared" si="2"/>
        <v>-812000</v>
      </c>
      <c r="D12" s="57" t="s">
        <v>28</v>
      </c>
      <c r="E12" s="8">
        <v>45753</v>
      </c>
      <c r="F12" s="58"/>
      <c r="H12" s="92">
        <v>1</v>
      </c>
      <c r="I12" s="8">
        <v>45693</v>
      </c>
      <c r="J12" s="41"/>
      <c r="K12" s="41">
        <v>300000</v>
      </c>
      <c r="L12" s="7">
        <f>L11-K12</f>
        <v>1500000</v>
      </c>
      <c r="M12" s="101"/>
    </row>
    <row r="13" spans="1:13" ht="15.6" x14ac:dyDescent="0.3">
      <c r="A13" s="83">
        <v>350000</v>
      </c>
      <c r="B13" s="83"/>
      <c r="C13" s="3">
        <f t="shared" si="2"/>
        <v>-462000</v>
      </c>
      <c r="D13" s="57" t="s">
        <v>28</v>
      </c>
      <c r="E13" s="8" t="s">
        <v>361</v>
      </c>
      <c r="F13" s="58"/>
      <c r="H13" s="92">
        <v>2</v>
      </c>
      <c r="I13" s="8">
        <v>45721</v>
      </c>
      <c r="J13" s="41"/>
      <c r="K13" s="41">
        <v>300000</v>
      </c>
      <c r="L13" s="7">
        <f>L12-K13</f>
        <v>1200000</v>
      </c>
      <c r="M13" s="107"/>
    </row>
    <row r="14" spans="1:13" ht="15.6" x14ac:dyDescent="0.3">
      <c r="A14" s="83">
        <v>300000</v>
      </c>
      <c r="B14" s="83"/>
      <c r="C14" s="3">
        <f t="shared" si="2"/>
        <v>-162000</v>
      </c>
      <c r="D14" s="57" t="s">
        <v>28</v>
      </c>
      <c r="E14" s="8" t="s">
        <v>362</v>
      </c>
      <c r="F14" s="58"/>
      <c r="H14" s="92">
        <v>3</v>
      </c>
      <c r="I14" s="8">
        <v>45752</v>
      </c>
      <c r="J14" s="41"/>
      <c r="K14" s="41">
        <v>300000</v>
      </c>
      <c r="L14" s="7">
        <f t="shared" ref="L14:L19" si="3">L13-K14</f>
        <v>900000</v>
      </c>
      <c r="M14" s="101"/>
    </row>
    <row r="15" spans="1:13" ht="15.6" x14ac:dyDescent="0.3">
      <c r="A15" s="119">
        <v>250000</v>
      </c>
      <c r="B15" s="119"/>
      <c r="C15" s="3">
        <f t="shared" si="2"/>
        <v>88000</v>
      </c>
      <c r="D15" s="57" t="s">
        <v>28</v>
      </c>
      <c r="E15" s="8" t="s">
        <v>295</v>
      </c>
      <c r="F15" s="58"/>
      <c r="H15" s="92">
        <v>4</v>
      </c>
      <c r="I15" s="8">
        <v>45782</v>
      </c>
      <c r="J15" s="41"/>
      <c r="K15" s="41">
        <v>300000</v>
      </c>
      <c r="L15" s="7">
        <f t="shared" si="3"/>
        <v>600000</v>
      </c>
      <c r="M15" s="107"/>
    </row>
    <row r="16" spans="1:13" ht="15.6" x14ac:dyDescent="0.3">
      <c r="A16" s="162"/>
      <c r="B16" s="80">
        <v>2100000</v>
      </c>
      <c r="C16" s="4">
        <f t="shared" ref="C16" si="4">IF(A16&gt;0,C15+A16-B16,C15-B16)</f>
        <v>-2012000</v>
      </c>
      <c r="D16" s="99" t="s">
        <v>357</v>
      </c>
      <c r="E16" s="46" t="s">
        <v>359</v>
      </c>
      <c r="F16" s="112"/>
      <c r="H16" s="92">
        <v>5</v>
      </c>
      <c r="I16" s="8">
        <v>45813</v>
      </c>
      <c r="J16" s="41"/>
      <c r="K16" s="41">
        <v>300000</v>
      </c>
      <c r="L16" s="7">
        <f t="shared" si="3"/>
        <v>300000</v>
      </c>
      <c r="M16" s="101"/>
    </row>
    <row r="17" spans="1:13" ht="15.6" x14ac:dyDescent="0.3">
      <c r="A17" s="119">
        <v>280000</v>
      </c>
      <c r="B17" s="119"/>
      <c r="C17" s="3">
        <f t="shared" si="2"/>
        <v>-1732000</v>
      </c>
      <c r="D17" s="57" t="s">
        <v>28</v>
      </c>
      <c r="E17" s="8" t="s">
        <v>303</v>
      </c>
      <c r="F17" s="58"/>
      <c r="H17" s="92"/>
      <c r="I17" s="8">
        <v>45843</v>
      </c>
      <c r="J17" s="41"/>
      <c r="K17" s="41">
        <v>300000</v>
      </c>
      <c r="L17" s="7">
        <f t="shared" si="3"/>
        <v>0</v>
      </c>
      <c r="M17" s="101"/>
    </row>
    <row r="18" spans="1:13" ht="15.6" x14ac:dyDescent="0.3">
      <c r="A18" s="119">
        <v>20000</v>
      </c>
      <c r="B18" s="119"/>
      <c r="C18" s="3">
        <f t="shared" si="2"/>
        <v>-1712000</v>
      </c>
      <c r="D18" s="57" t="s">
        <v>28</v>
      </c>
      <c r="E18" s="8" t="s">
        <v>303</v>
      </c>
      <c r="F18" s="58"/>
      <c r="H18" s="92">
        <v>6</v>
      </c>
      <c r="I18" s="8"/>
      <c r="J18" s="41"/>
      <c r="K18" s="41"/>
      <c r="L18" s="7">
        <f t="shared" si="3"/>
        <v>0</v>
      </c>
      <c r="M18" s="101"/>
    </row>
    <row r="19" spans="1:13" ht="15.6" x14ac:dyDescent="0.3">
      <c r="A19" s="3">
        <v>200000</v>
      </c>
      <c r="B19" s="3"/>
      <c r="C19" s="3">
        <f t="shared" si="2"/>
        <v>-1512000</v>
      </c>
      <c r="D19" s="57" t="s">
        <v>28</v>
      </c>
      <c r="E19" s="8" t="s">
        <v>367</v>
      </c>
      <c r="F19" s="58"/>
      <c r="H19" s="92"/>
      <c r="I19" s="8"/>
      <c r="J19" s="41"/>
      <c r="K19" s="41"/>
      <c r="L19" s="7">
        <f t="shared" si="3"/>
        <v>0</v>
      </c>
      <c r="M19" s="101"/>
    </row>
    <row r="20" spans="1:13" ht="15.6" x14ac:dyDescent="0.3">
      <c r="A20" s="3">
        <v>400000</v>
      </c>
      <c r="B20" s="3"/>
      <c r="C20" s="3">
        <f t="shared" si="2"/>
        <v>-1112000</v>
      </c>
      <c r="D20" s="57" t="s">
        <v>28</v>
      </c>
      <c r="E20" s="8" t="s">
        <v>507</v>
      </c>
      <c r="F20" s="58"/>
    </row>
    <row r="21" spans="1:13" ht="15.6" x14ac:dyDescent="0.3">
      <c r="A21" s="3">
        <v>600000</v>
      </c>
      <c r="B21" s="3"/>
      <c r="C21" s="3">
        <f t="shared" si="2"/>
        <v>-512000</v>
      </c>
      <c r="D21" s="57" t="s">
        <v>28</v>
      </c>
      <c r="E21" s="8">
        <v>46250</v>
      </c>
      <c r="F21" s="58"/>
    </row>
    <row r="22" spans="1:13" ht="15.6" x14ac:dyDescent="0.3">
      <c r="A22" s="3">
        <v>200000</v>
      </c>
      <c r="B22" s="3"/>
      <c r="C22" s="3">
        <f t="shared" si="2"/>
        <v>-312000</v>
      </c>
      <c r="D22" s="57" t="s">
        <v>28</v>
      </c>
      <c r="E22" s="8">
        <v>46314</v>
      </c>
      <c r="F22" s="58"/>
      <c r="H22" s="6"/>
      <c r="I22" s="5" t="s">
        <v>37</v>
      </c>
      <c r="J22" s="6" t="s">
        <v>358</v>
      </c>
      <c r="K22" s="273" t="s">
        <v>353</v>
      </c>
      <c r="L22" s="274"/>
      <c r="M22" s="275"/>
    </row>
    <row r="23" spans="1:13" ht="15.6" x14ac:dyDescent="0.3">
      <c r="A23" s="3"/>
      <c r="B23" s="3"/>
      <c r="C23" s="3">
        <f t="shared" si="2"/>
        <v>-312000</v>
      </c>
      <c r="D23" s="8"/>
      <c r="E23" s="8"/>
      <c r="F23" s="58"/>
      <c r="H23" s="92" t="s">
        <v>40</v>
      </c>
      <c r="I23" s="7" t="s">
        <v>6</v>
      </c>
      <c r="J23" s="41" t="s">
        <v>41</v>
      </c>
      <c r="K23" s="41" t="s">
        <v>42</v>
      </c>
      <c r="L23" s="7" t="s">
        <v>442</v>
      </c>
      <c r="M23" s="101" t="s">
        <v>7</v>
      </c>
    </row>
    <row r="24" spans="1:13" ht="15.6" x14ac:dyDescent="0.3">
      <c r="A24" s="3"/>
      <c r="B24" s="3"/>
      <c r="C24" s="3">
        <f t="shared" si="2"/>
        <v>-312000</v>
      </c>
      <c r="D24" s="8"/>
      <c r="E24" s="8"/>
      <c r="F24" s="58"/>
      <c r="H24" s="92"/>
      <c r="I24" s="7"/>
      <c r="J24" s="41">
        <v>2100000</v>
      </c>
      <c r="K24" s="41"/>
      <c r="L24" s="41">
        <f>J24</f>
        <v>2100000</v>
      </c>
      <c r="M24" s="101"/>
    </row>
    <row r="25" spans="1:13" ht="15.6" x14ac:dyDescent="0.3">
      <c r="A25" s="3"/>
      <c r="B25" s="3"/>
      <c r="C25" s="3">
        <f t="shared" si="2"/>
        <v>-312000</v>
      </c>
      <c r="D25" s="8"/>
      <c r="E25" s="8"/>
      <c r="F25" s="58"/>
      <c r="H25" s="92"/>
      <c r="I25" s="7"/>
      <c r="J25" s="41"/>
      <c r="K25" s="41"/>
      <c r="L25" s="41">
        <f>J25+J24</f>
        <v>2100000</v>
      </c>
      <c r="M25" s="101"/>
    </row>
    <row r="26" spans="1:13" ht="15.6" x14ac:dyDescent="0.3">
      <c r="A26" s="3"/>
      <c r="B26" s="3"/>
      <c r="C26" s="3">
        <f t="shared" si="2"/>
        <v>-312000</v>
      </c>
      <c r="D26" s="8"/>
      <c r="E26" s="8"/>
      <c r="F26" s="58"/>
      <c r="H26" s="92"/>
      <c r="I26" s="8"/>
      <c r="J26" s="41"/>
      <c r="K26" s="41">
        <v>700000</v>
      </c>
      <c r="L26" s="7">
        <f>L25-K26</f>
        <v>1400000</v>
      </c>
      <c r="M26" s="101" t="s">
        <v>122</v>
      </c>
    </row>
    <row r="27" spans="1:13" ht="15.6" x14ac:dyDescent="0.3">
      <c r="A27" s="3"/>
      <c r="B27" s="3"/>
      <c r="C27" s="3">
        <f t="shared" si="2"/>
        <v>-312000</v>
      </c>
      <c r="D27" s="8"/>
      <c r="E27" s="8"/>
      <c r="F27" s="58"/>
      <c r="H27" s="92">
        <v>1</v>
      </c>
      <c r="I27" s="8">
        <v>46299</v>
      </c>
      <c r="J27" s="41"/>
      <c r="K27" s="41">
        <v>350000</v>
      </c>
      <c r="L27" s="7">
        <f>L26-K27</f>
        <v>1050000</v>
      </c>
      <c r="M27" s="101"/>
    </row>
    <row r="28" spans="1:13" ht="15.6" x14ac:dyDescent="0.3">
      <c r="A28" s="3"/>
      <c r="B28" s="3"/>
      <c r="C28" s="3">
        <f t="shared" si="2"/>
        <v>-312000</v>
      </c>
      <c r="D28" s="8"/>
      <c r="E28" s="8"/>
      <c r="F28" s="58"/>
      <c r="H28" s="92">
        <v>2</v>
      </c>
      <c r="I28" s="8">
        <v>46300</v>
      </c>
      <c r="J28" s="41"/>
      <c r="K28" s="41">
        <v>350000</v>
      </c>
      <c r="L28" s="7">
        <f>L27-K28</f>
        <v>700000</v>
      </c>
      <c r="M28" s="107"/>
    </row>
    <row r="29" spans="1:13" ht="15.6" x14ac:dyDescent="0.3">
      <c r="A29" s="3"/>
      <c r="B29" s="3"/>
      <c r="C29" s="3">
        <f t="shared" si="2"/>
        <v>-312000</v>
      </c>
      <c r="D29" s="7"/>
      <c r="E29" s="8"/>
      <c r="F29" s="58"/>
      <c r="H29" s="92">
        <v>3</v>
      </c>
      <c r="I29" s="8">
        <v>46301</v>
      </c>
      <c r="J29" s="41"/>
      <c r="K29" s="41">
        <v>350000</v>
      </c>
      <c r="L29" s="7">
        <f t="shared" ref="L29:L33" si="5">L28-K29</f>
        <v>350000</v>
      </c>
      <c r="M29" s="101"/>
    </row>
    <row r="30" spans="1:13" ht="15.6" x14ac:dyDescent="0.3">
      <c r="A30" s="3"/>
      <c r="B30" s="3"/>
      <c r="C30" s="3">
        <f t="shared" si="2"/>
        <v>-312000</v>
      </c>
      <c r="D30" s="7"/>
      <c r="E30" s="8"/>
      <c r="F30" s="58"/>
      <c r="H30" s="92">
        <v>4</v>
      </c>
      <c r="I30" s="8">
        <v>46302</v>
      </c>
      <c r="J30" s="41"/>
      <c r="K30" s="41">
        <v>350000</v>
      </c>
      <c r="L30" s="7">
        <f t="shared" si="5"/>
        <v>0</v>
      </c>
      <c r="M30" s="107"/>
    </row>
    <row r="31" spans="1:13" ht="15.6" x14ac:dyDescent="0.3">
      <c r="A31" s="3"/>
      <c r="B31" s="3"/>
      <c r="C31" s="3">
        <f>IF(A31&gt;0,C30+A31-B31,C30-B31)</f>
        <v>-312000</v>
      </c>
      <c r="D31" s="7"/>
      <c r="E31" s="8"/>
      <c r="F31" s="58"/>
      <c r="H31" s="92">
        <v>5</v>
      </c>
      <c r="I31" s="8"/>
      <c r="J31" s="41"/>
      <c r="K31" s="41"/>
      <c r="L31" s="7">
        <f t="shared" si="5"/>
        <v>0</v>
      </c>
      <c r="M31" s="101"/>
    </row>
    <row r="32" spans="1:13" ht="15.6" x14ac:dyDescent="0.3">
      <c r="A32" s="3"/>
      <c r="B32" s="3"/>
      <c r="C32" s="3">
        <f t="shared" si="2"/>
        <v>-312000</v>
      </c>
      <c r="D32" s="7"/>
      <c r="E32" s="8"/>
      <c r="F32" s="58"/>
      <c r="H32" s="92">
        <v>6</v>
      </c>
      <c r="I32" s="8"/>
      <c r="J32" s="41"/>
      <c r="K32" s="41"/>
      <c r="L32" s="7">
        <f t="shared" si="5"/>
        <v>0</v>
      </c>
      <c r="M32" s="101"/>
    </row>
    <row r="33" spans="1:13" ht="15.6" x14ac:dyDescent="0.3">
      <c r="A33" s="3"/>
      <c r="B33" s="3"/>
      <c r="C33" s="3">
        <f t="shared" si="2"/>
        <v>-312000</v>
      </c>
      <c r="D33" s="7"/>
      <c r="E33" s="8"/>
      <c r="F33" s="58"/>
      <c r="H33" s="92"/>
      <c r="I33" s="8"/>
      <c r="J33" s="41"/>
      <c r="K33" s="41"/>
      <c r="L33" s="7">
        <f t="shared" si="5"/>
        <v>0</v>
      </c>
      <c r="M33" s="101"/>
    </row>
    <row r="34" spans="1:13" ht="15.6" x14ac:dyDescent="0.3">
      <c r="A34" s="3"/>
      <c r="B34" s="3"/>
      <c r="C34" s="3">
        <f t="shared" si="2"/>
        <v>-312000</v>
      </c>
      <c r="D34" s="7"/>
      <c r="E34" s="8"/>
      <c r="F34" s="58"/>
    </row>
    <row r="35" spans="1:13" ht="15.6" x14ac:dyDescent="0.3">
      <c r="A35" s="3"/>
      <c r="B35" s="3"/>
      <c r="C35" s="3">
        <f t="shared" si="2"/>
        <v>-312000</v>
      </c>
      <c r="D35" s="7"/>
      <c r="E35" s="8"/>
      <c r="F35" s="58"/>
    </row>
    <row r="36" spans="1:13" ht="15.6" x14ac:dyDescent="0.3">
      <c r="A36" s="3"/>
      <c r="B36" s="3"/>
      <c r="C36" s="3">
        <f>IF(A36&gt;0,C35+A36-B36,C35-B36)</f>
        <v>-312000</v>
      </c>
      <c r="D36" s="7"/>
      <c r="E36" s="8"/>
      <c r="F36" s="58"/>
    </row>
    <row r="37" spans="1:13" ht="15.6" x14ac:dyDescent="0.3">
      <c r="A37" s="3"/>
      <c r="B37" s="3"/>
      <c r="C37" s="3">
        <f t="shared" si="2"/>
        <v>-312000</v>
      </c>
      <c r="D37" s="7"/>
      <c r="E37" s="8"/>
      <c r="F37" s="58"/>
    </row>
    <row r="38" spans="1:13" ht="15.6" x14ac:dyDescent="0.3">
      <c r="A38" s="3"/>
      <c r="B38" s="3"/>
      <c r="C38" s="3">
        <f t="shared" si="2"/>
        <v>-312000</v>
      </c>
      <c r="D38" s="7"/>
      <c r="E38" s="8"/>
      <c r="F38" s="58"/>
    </row>
    <row r="39" spans="1:13" ht="15.6" x14ac:dyDescent="0.3">
      <c r="A39" s="3"/>
      <c r="B39" s="3"/>
      <c r="C39" s="3">
        <f t="shared" si="2"/>
        <v>-312000</v>
      </c>
      <c r="D39" s="7"/>
      <c r="E39" s="8"/>
      <c r="F39" s="58"/>
    </row>
    <row r="40" spans="1:13" ht="15.6" x14ac:dyDescent="0.3">
      <c r="A40" s="3"/>
      <c r="B40" s="3"/>
      <c r="C40" s="3">
        <f t="shared" si="2"/>
        <v>-312000</v>
      </c>
      <c r="D40" s="7"/>
      <c r="E40" s="8"/>
      <c r="F40" s="58"/>
    </row>
    <row r="41" spans="1:13" ht="15.6" x14ac:dyDescent="0.3">
      <c r="A41" s="3"/>
      <c r="B41" s="3"/>
      <c r="C41" s="3">
        <f t="shared" si="2"/>
        <v>-312000</v>
      </c>
      <c r="D41" s="7"/>
      <c r="E41" s="8"/>
      <c r="F41" s="58"/>
    </row>
    <row r="42" spans="1:13" ht="15.6" x14ac:dyDescent="0.3">
      <c r="A42" s="3"/>
      <c r="B42" s="3"/>
      <c r="C42" s="3">
        <f t="shared" si="2"/>
        <v>-312000</v>
      </c>
      <c r="D42" s="7"/>
      <c r="E42" s="8"/>
      <c r="F42" s="58"/>
    </row>
    <row r="43" spans="1:13" ht="15.6" x14ac:dyDescent="0.3">
      <c r="A43" s="3"/>
      <c r="B43" s="3"/>
      <c r="C43" s="3">
        <f t="shared" si="2"/>
        <v>-312000</v>
      </c>
      <c r="D43" s="7"/>
      <c r="E43" s="8"/>
      <c r="F43" s="58"/>
    </row>
    <row r="44" spans="1:13" ht="15.6" x14ac:dyDescent="0.3">
      <c r="A44" s="3"/>
      <c r="B44" s="3"/>
      <c r="C44" s="3">
        <f t="shared" si="2"/>
        <v>-312000</v>
      </c>
      <c r="D44" s="7"/>
      <c r="E44" s="8"/>
      <c r="F44" s="58"/>
    </row>
    <row r="45" spans="1:13" ht="15.6" x14ac:dyDescent="0.3">
      <c r="A45" s="3"/>
      <c r="B45" s="3"/>
      <c r="C45" s="3">
        <f t="shared" si="2"/>
        <v>-312000</v>
      </c>
      <c r="D45" s="7"/>
      <c r="E45" s="8"/>
      <c r="F45" s="58"/>
    </row>
    <row r="46" spans="1:13" ht="15.6" x14ac:dyDescent="0.3">
      <c r="A46" s="3"/>
      <c r="B46" s="3"/>
      <c r="C46" s="3">
        <f t="shared" si="2"/>
        <v>-312000</v>
      </c>
      <c r="D46" s="7"/>
      <c r="E46" s="8"/>
      <c r="F46" s="58"/>
    </row>
    <row r="47" spans="1:13" ht="15.6" x14ac:dyDescent="0.3">
      <c r="A47" s="3"/>
      <c r="B47" s="3"/>
      <c r="C47" s="3">
        <f t="shared" si="2"/>
        <v>-312000</v>
      </c>
      <c r="D47" s="7"/>
      <c r="E47" s="8"/>
      <c r="F47" s="58"/>
    </row>
    <row r="48" spans="1:13" ht="15.6" x14ac:dyDescent="0.3">
      <c r="A48" s="3"/>
      <c r="B48" s="3"/>
      <c r="C48" s="3">
        <f t="shared" si="2"/>
        <v>-312000</v>
      </c>
      <c r="D48" s="7"/>
      <c r="E48" s="8"/>
      <c r="F48" s="58"/>
    </row>
    <row r="49" spans="1:6" ht="15.6" x14ac:dyDescent="0.3">
      <c r="A49" s="3"/>
      <c r="B49" s="3"/>
      <c r="C49" s="3">
        <f t="shared" si="2"/>
        <v>-312000</v>
      </c>
      <c r="D49" s="7"/>
      <c r="E49" s="8"/>
      <c r="F49" s="58"/>
    </row>
    <row r="50" spans="1:6" ht="15.6" x14ac:dyDescent="0.3">
      <c r="A50" s="3"/>
      <c r="B50" s="3"/>
      <c r="C50" s="3">
        <f t="shared" si="2"/>
        <v>-312000</v>
      </c>
      <c r="D50" s="7"/>
      <c r="E50" s="8"/>
      <c r="F50" s="58"/>
    </row>
    <row r="51" spans="1:6" ht="15.6" x14ac:dyDescent="0.3">
      <c r="A51" s="3"/>
      <c r="B51" s="3"/>
      <c r="C51" s="3">
        <f t="shared" si="2"/>
        <v>-312000</v>
      </c>
      <c r="D51" s="7"/>
      <c r="E51" s="8"/>
      <c r="F51" s="58"/>
    </row>
    <row r="52" spans="1:6" ht="15.6" x14ac:dyDescent="0.3">
      <c r="A52" s="3"/>
      <c r="B52" s="3"/>
      <c r="C52" s="3">
        <f t="shared" si="2"/>
        <v>-312000</v>
      </c>
      <c r="D52" s="7"/>
      <c r="E52" s="8"/>
      <c r="F52" s="58"/>
    </row>
    <row r="53" spans="1:6" ht="15.6" x14ac:dyDescent="0.3">
      <c r="A53" s="3"/>
      <c r="B53" s="3"/>
      <c r="C53" s="3">
        <f t="shared" si="2"/>
        <v>-312000</v>
      </c>
      <c r="D53" s="7"/>
      <c r="E53" s="8"/>
      <c r="F53" s="58"/>
    </row>
    <row r="54" spans="1:6" ht="15.6" x14ac:dyDescent="0.3">
      <c r="A54" s="3"/>
      <c r="B54" s="3"/>
      <c r="C54" s="3">
        <f t="shared" si="2"/>
        <v>-312000</v>
      </c>
      <c r="D54" s="7"/>
      <c r="E54" s="8"/>
      <c r="F54" s="58"/>
    </row>
    <row r="55" spans="1:6" ht="15.6" x14ac:dyDescent="0.3">
      <c r="A55" s="3"/>
      <c r="B55" s="3"/>
      <c r="C55" s="3">
        <f t="shared" si="2"/>
        <v>-312000</v>
      </c>
      <c r="D55" s="7"/>
      <c r="E55" s="8"/>
      <c r="F55" s="58"/>
    </row>
    <row r="56" spans="1:6" ht="15.6" x14ac:dyDescent="0.3">
      <c r="A56" s="3"/>
      <c r="B56" s="3"/>
      <c r="C56" s="3">
        <f t="shared" si="2"/>
        <v>-312000</v>
      </c>
      <c r="D56" s="7"/>
      <c r="E56" s="8"/>
      <c r="F56" s="58"/>
    </row>
    <row r="57" spans="1:6" ht="15.6" x14ac:dyDescent="0.3">
      <c r="A57" s="3"/>
      <c r="B57" s="3"/>
      <c r="C57" s="3">
        <f t="shared" si="2"/>
        <v>-312000</v>
      </c>
      <c r="D57" s="7"/>
      <c r="E57" s="8"/>
      <c r="F57" s="58"/>
    </row>
    <row r="58" spans="1:6" ht="15.6" x14ac:dyDescent="0.3">
      <c r="A58" s="3"/>
      <c r="B58" s="3"/>
      <c r="C58" s="3">
        <f t="shared" si="2"/>
        <v>-312000</v>
      </c>
      <c r="D58" s="7"/>
      <c r="E58" s="8"/>
      <c r="F58" s="58"/>
    </row>
    <row r="59" spans="1:6" ht="15.6" x14ac:dyDescent="0.3">
      <c r="A59" s="3"/>
      <c r="B59" s="3"/>
      <c r="C59" s="3">
        <f t="shared" si="2"/>
        <v>-312000</v>
      </c>
      <c r="D59" s="7"/>
      <c r="E59" s="8"/>
      <c r="F59" s="58"/>
    </row>
    <row r="60" spans="1:6" ht="15.6" x14ac:dyDescent="0.3">
      <c r="A60" s="3"/>
      <c r="B60" s="3"/>
      <c r="C60" s="3">
        <f t="shared" si="2"/>
        <v>-312000</v>
      </c>
      <c r="D60" s="7"/>
      <c r="E60" s="8"/>
      <c r="F60" s="58"/>
    </row>
    <row r="61" spans="1:6" ht="15.6" x14ac:dyDescent="0.3">
      <c r="A61" s="3"/>
      <c r="B61" s="3"/>
      <c r="C61" s="3">
        <f t="shared" si="2"/>
        <v>-312000</v>
      </c>
      <c r="D61" s="7"/>
      <c r="E61" s="8"/>
      <c r="F61" s="58"/>
    </row>
    <row r="62" spans="1:6" ht="15.6" x14ac:dyDescent="0.3">
      <c r="A62" s="3"/>
      <c r="B62" s="3"/>
      <c r="C62" s="3">
        <f t="shared" si="2"/>
        <v>-312000</v>
      </c>
      <c r="D62" s="7"/>
      <c r="E62" s="8"/>
      <c r="F62" s="58"/>
    </row>
    <row r="63" spans="1:6" ht="15.6" x14ac:dyDescent="0.3">
      <c r="A63" s="3"/>
      <c r="B63" s="3"/>
      <c r="C63" s="3">
        <f t="shared" si="2"/>
        <v>-312000</v>
      </c>
      <c r="D63" s="7"/>
      <c r="E63" s="8"/>
      <c r="F63" s="58"/>
    </row>
    <row r="64" spans="1:6" ht="15.6" x14ac:dyDescent="0.3">
      <c r="A64" s="3"/>
      <c r="B64" s="3"/>
      <c r="C64" s="3">
        <f t="shared" si="2"/>
        <v>-312000</v>
      </c>
      <c r="D64" s="7"/>
      <c r="E64" s="8"/>
      <c r="F64" s="58"/>
    </row>
    <row r="65" spans="1:6" ht="15.6" x14ac:dyDescent="0.3">
      <c r="A65" s="3"/>
      <c r="B65" s="3"/>
      <c r="C65" s="3">
        <f t="shared" si="2"/>
        <v>-312000</v>
      </c>
      <c r="D65" s="7"/>
      <c r="E65" s="8"/>
      <c r="F65" s="58"/>
    </row>
    <row r="66" spans="1:6" ht="15.6" x14ac:dyDescent="0.3">
      <c r="A66" s="3"/>
      <c r="B66" s="3"/>
      <c r="C66" s="3">
        <f t="shared" si="2"/>
        <v>-312000</v>
      </c>
      <c r="D66" s="7"/>
      <c r="E66" s="8"/>
      <c r="F66" s="58"/>
    </row>
    <row r="67" spans="1:6" ht="15.6" x14ac:dyDescent="0.3">
      <c r="A67" s="3"/>
      <c r="B67" s="3"/>
      <c r="C67" s="3">
        <f t="shared" si="2"/>
        <v>-312000</v>
      </c>
      <c r="D67" s="7"/>
      <c r="E67" s="8"/>
      <c r="F67" s="58"/>
    </row>
    <row r="68" spans="1:6" ht="15.6" x14ac:dyDescent="0.3">
      <c r="A68" s="3"/>
      <c r="B68" s="3"/>
      <c r="C68" s="3">
        <f t="shared" si="2"/>
        <v>-312000</v>
      </c>
      <c r="D68" s="7"/>
      <c r="E68" s="8"/>
      <c r="F68" s="58"/>
    </row>
    <row r="69" spans="1:6" ht="15.6" x14ac:dyDescent="0.3">
      <c r="A69" s="3"/>
      <c r="B69" s="3"/>
      <c r="C69" s="3">
        <f t="shared" si="2"/>
        <v>-312000</v>
      </c>
      <c r="D69" s="7"/>
      <c r="E69" s="8"/>
      <c r="F69" s="58"/>
    </row>
    <row r="70" spans="1:6" ht="15.6" x14ac:dyDescent="0.3">
      <c r="A70" s="3"/>
      <c r="B70" s="3"/>
      <c r="C70" s="3">
        <f t="shared" si="2"/>
        <v>-312000</v>
      </c>
      <c r="D70" s="52"/>
      <c r="E70" s="8"/>
      <c r="F70" s="58"/>
    </row>
    <row r="71" spans="1:6" ht="15.6" x14ac:dyDescent="0.3">
      <c r="A71" s="3"/>
      <c r="B71" s="3"/>
      <c r="C71" s="3">
        <f t="shared" ref="C71:C134" si="6">IF(A71&gt;0,C70+A71-B71,C70-B71)</f>
        <v>-312000</v>
      </c>
      <c r="D71" s="7"/>
      <c r="E71" s="8"/>
      <c r="F71" s="58"/>
    </row>
    <row r="72" spans="1:6" ht="15.6" x14ac:dyDescent="0.3">
      <c r="A72" s="3"/>
      <c r="B72" s="3"/>
      <c r="C72" s="3">
        <f t="shared" si="6"/>
        <v>-312000</v>
      </c>
      <c r="D72" s="7"/>
      <c r="E72" s="8"/>
      <c r="F72" s="58"/>
    </row>
    <row r="73" spans="1:6" ht="15.6" x14ac:dyDescent="0.3">
      <c r="A73" s="3"/>
      <c r="B73" s="3"/>
      <c r="C73" s="3">
        <f t="shared" si="6"/>
        <v>-312000</v>
      </c>
      <c r="D73" s="7"/>
      <c r="E73" s="8"/>
      <c r="F73" s="58"/>
    </row>
    <row r="74" spans="1:6" ht="15.6" x14ac:dyDescent="0.3">
      <c r="A74" s="3"/>
      <c r="B74" s="3"/>
      <c r="C74" s="3">
        <f t="shared" si="6"/>
        <v>-312000</v>
      </c>
      <c r="D74" s="7"/>
      <c r="E74" s="8"/>
      <c r="F74" s="58"/>
    </row>
    <row r="75" spans="1:6" ht="15.6" x14ac:dyDescent="0.3">
      <c r="A75" s="3"/>
      <c r="B75" s="3"/>
      <c r="C75" s="3">
        <f t="shared" si="6"/>
        <v>-312000</v>
      </c>
      <c r="D75" s="7"/>
      <c r="E75" s="8"/>
      <c r="F75" s="58"/>
    </row>
    <row r="76" spans="1:6" ht="15.6" x14ac:dyDescent="0.3">
      <c r="A76" s="3"/>
      <c r="B76" s="3"/>
      <c r="C76" s="3">
        <f t="shared" si="6"/>
        <v>-312000</v>
      </c>
      <c r="D76" s="7"/>
      <c r="E76" s="8"/>
      <c r="F76" s="58"/>
    </row>
    <row r="77" spans="1:6" ht="15.6" x14ac:dyDescent="0.3">
      <c r="A77" s="3"/>
      <c r="B77" s="3"/>
      <c r="C77" s="3">
        <f t="shared" si="6"/>
        <v>-312000</v>
      </c>
      <c r="D77" s="7"/>
      <c r="E77" s="8"/>
      <c r="F77" s="58"/>
    </row>
    <row r="78" spans="1:6" ht="15.6" x14ac:dyDescent="0.3">
      <c r="A78" s="3"/>
      <c r="B78" s="3"/>
      <c r="C78" s="3">
        <f t="shared" si="6"/>
        <v>-312000</v>
      </c>
      <c r="D78" s="7"/>
      <c r="E78" s="8"/>
      <c r="F78" s="58"/>
    </row>
    <row r="79" spans="1:6" ht="15.6" x14ac:dyDescent="0.3">
      <c r="A79" s="3"/>
      <c r="B79" s="3"/>
      <c r="C79" s="3">
        <f t="shared" si="6"/>
        <v>-312000</v>
      </c>
      <c r="D79" s="7"/>
      <c r="E79" s="8"/>
      <c r="F79" s="58"/>
    </row>
    <row r="80" spans="1:6" ht="15.6" x14ac:dyDescent="0.3">
      <c r="A80" s="3"/>
      <c r="B80" s="3"/>
      <c r="C80" s="3">
        <f t="shared" si="6"/>
        <v>-312000</v>
      </c>
      <c r="D80" s="7"/>
      <c r="E80" s="8"/>
      <c r="F80" s="58"/>
    </row>
    <row r="81" spans="1:6" ht="15.6" x14ac:dyDescent="0.3">
      <c r="A81" s="3"/>
      <c r="B81" s="3"/>
      <c r="C81" s="3">
        <f t="shared" si="6"/>
        <v>-312000</v>
      </c>
      <c r="D81" s="7"/>
      <c r="E81" s="8"/>
      <c r="F81" s="58"/>
    </row>
    <row r="82" spans="1:6" ht="15.6" x14ac:dyDescent="0.3">
      <c r="A82" s="3"/>
      <c r="B82" s="3"/>
      <c r="C82" s="3">
        <f t="shared" si="6"/>
        <v>-312000</v>
      </c>
      <c r="D82" s="7"/>
      <c r="E82" s="8"/>
      <c r="F82" s="58"/>
    </row>
    <row r="83" spans="1:6" ht="15.6" x14ac:dyDescent="0.3">
      <c r="A83" s="3"/>
      <c r="B83" s="3"/>
      <c r="C83" s="3">
        <f t="shared" si="6"/>
        <v>-312000</v>
      </c>
      <c r="D83" s="7"/>
      <c r="E83" s="8"/>
      <c r="F83" s="58"/>
    </row>
    <row r="84" spans="1:6" ht="15.6" x14ac:dyDescent="0.3">
      <c r="A84" s="3"/>
      <c r="B84" s="3"/>
      <c r="C84" s="3">
        <f t="shared" si="6"/>
        <v>-312000</v>
      </c>
      <c r="D84" s="7"/>
      <c r="E84" s="8"/>
      <c r="F84" s="58"/>
    </row>
    <row r="85" spans="1:6" ht="15.6" x14ac:dyDescent="0.3">
      <c r="A85" s="3"/>
      <c r="B85" s="3"/>
      <c r="C85" s="3">
        <f t="shared" si="6"/>
        <v>-312000</v>
      </c>
      <c r="D85" s="7"/>
      <c r="E85" s="8"/>
      <c r="F85" s="58"/>
    </row>
    <row r="86" spans="1:6" ht="15.6" x14ac:dyDescent="0.3">
      <c r="A86" s="3"/>
      <c r="B86" s="3"/>
      <c r="C86" s="3">
        <f t="shared" si="6"/>
        <v>-312000</v>
      </c>
      <c r="D86" s="7"/>
      <c r="E86" s="8"/>
      <c r="F86" s="58"/>
    </row>
    <row r="87" spans="1:6" ht="15.6" x14ac:dyDescent="0.3">
      <c r="A87" s="3"/>
      <c r="B87" s="3"/>
      <c r="C87" s="3">
        <f t="shared" si="6"/>
        <v>-312000</v>
      </c>
      <c r="D87" s="7"/>
      <c r="E87" s="8"/>
      <c r="F87" s="58"/>
    </row>
    <row r="88" spans="1:6" ht="15.6" x14ac:dyDescent="0.3">
      <c r="A88" s="3"/>
      <c r="B88" s="3"/>
      <c r="C88" s="3">
        <f t="shared" si="6"/>
        <v>-312000</v>
      </c>
      <c r="D88" s="7"/>
      <c r="E88" s="8"/>
      <c r="F88" s="58"/>
    </row>
    <row r="89" spans="1:6" ht="15.6" x14ac:dyDescent="0.3">
      <c r="A89" s="3"/>
      <c r="B89" s="3"/>
      <c r="C89" s="3">
        <f t="shared" si="6"/>
        <v>-312000</v>
      </c>
      <c r="D89" s="7"/>
      <c r="E89" s="8"/>
      <c r="F89" s="7"/>
    </row>
    <row r="90" spans="1:6" ht="15.6" x14ac:dyDescent="0.3">
      <c r="A90" s="3"/>
      <c r="B90" s="3"/>
      <c r="C90" s="3">
        <f t="shared" si="6"/>
        <v>-312000</v>
      </c>
      <c r="D90" s="7"/>
      <c r="E90" s="8"/>
      <c r="F90" s="7"/>
    </row>
    <row r="91" spans="1:6" ht="15.6" x14ac:dyDescent="0.3">
      <c r="A91" s="3"/>
      <c r="B91" s="3"/>
      <c r="C91" s="3">
        <f t="shared" si="6"/>
        <v>-312000</v>
      </c>
      <c r="D91" s="7"/>
      <c r="E91" s="8"/>
      <c r="F91" s="7"/>
    </row>
    <row r="92" spans="1:6" ht="15.6" x14ac:dyDescent="0.3">
      <c r="A92" s="3"/>
      <c r="B92" s="3"/>
      <c r="C92" s="3">
        <f t="shared" si="6"/>
        <v>-312000</v>
      </c>
      <c r="D92" s="7"/>
      <c r="E92" s="8"/>
      <c r="F92" s="7"/>
    </row>
    <row r="93" spans="1:6" ht="15.6" x14ac:dyDescent="0.3">
      <c r="A93" s="3"/>
      <c r="B93" s="3"/>
      <c r="C93" s="3">
        <f t="shared" si="6"/>
        <v>-312000</v>
      </c>
      <c r="D93" s="7"/>
      <c r="E93" s="8"/>
      <c r="F93" s="7"/>
    </row>
    <row r="94" spans="1:6" ht="15.6" x14ac:dyDescent="0.3">
      <c r="A94" s="3"/>
      <c r="B94" s="3"/>
      <c r="C94" s="3">
        <f t="shared" si="6"/>
        <v>-312000</v>
      </c>
      <c r="D94" s="7"/>
      <c r="E94" s="8"/>
      <c r="F94" s="7"/>
    </row>
    <row r="95" spans="1:6" ht="15.6" x14ac:dyDescent="0.3">
      <c r="A95" s="3"/>
      <c r="B95" s="3"/>
      <c r="C95" s="3">
        <f t="shared" si="6"/>
        <v>-312000</v>
      </c>
      <c r="D95" s="7"/>
      <c r="E95" s="8"/>
      <c r="F95" s="7"/>
    </row>
    <row r="96" spans="1:6" ht="15.6" x14ac:dyDescent="0.3">
      <c r="A96" s="3"/>
      <c r="B96" s="3"/>
      <c r="C96" s="3">
        <f t="shared" si="6"/>
        <v>-312000</v>
      </c>
      <c r="D96" s="7"/>
      <c r="E96" s="8"/>
      <c r="F96" s="7"/>
    </row>
    <row r="97" spans="1:6" ht="15.6" x14ac:dyDescent="0.3">
      <c r="A97" s="3"/>
      <c r="B97" s="3"/>
      <c r="C97" s="3">
        <f t="shared" si="6"/>
        <v>-312000</v>
      </c>
      <c r="D97" s="7"/>
      <c r="E97" s="8"/>
      <c r="F97" s="7"/>
    </row>
    <row r="98" spans="1:6" ht="15.6" x14ac:dyDescent="0.3">
      <c r="A98" s="3"/>
      <c r="B98" s="3"/>
      <c r="C98" s="3">
        <f t="shared" si="6"/>
        <v>-312000</v>
      </c>
      <c r="D98" s="7"/>
      <c r="E98" s="8"/>
      <c r="F98" s="7"/>
    </row>
    <row r="99" spans="1:6" ht="15.6" x14ac:dyDescent="0.3">
      <c r="A99" s="3"/>
      <c r="B99" s="3"/>
      <c r="C99" s="3">
        <f t="shared" si="6"/>
        <v>-312000</v>
      </c>
      <c r="D99" s="7"/>
      <c r="E99" s="8"/>
      <c r="F99" s="7"/>
    </row>
    <row r="100" spans="1:6" ht="15.6" x14ac:dyDescent="0.3">
      <c r="A100" s="3"/>
      <c r="B100" s="3"/>
      <c r="C100" s="3">
        <f t="shared" si="6"/>
        <v>-312000</v>
      </c>
      <c r="D100" s="7"/>
      <c r="E100" s="8"/>
      <c r="F100" s="7"/>
    </row>
    <row r="101" spans="1:6" ht="15.6" x14ac:dyDescent="0.3">
      <c r="A101" s="3"/>
      <c r="B101" s="3"/>
      <c r="C101" s="3">
        <f t="shared" si="6"/>
        <v>-312000</v>
      </c>
      <c r="D101" s="7"/>
      <c r="E101" s="8"/>
      <c r="F101" s="7"/>
    </row>
    <row r="102" spans="1:6" ht="15.6" x14ac:dyDescent="0.3">
      <c r="A102" s="3"/>
      <c r="B102" s="3"/>
      <c r="C102" s="3">
        <f t="shared" si="6"/>
        <v>-312000</v>
      </c>
      <c r="D102" s="7"/>
      <c r="E102" s="8"/>
      <c r="F102" s="7"/>
    </row>
    <row r="103" spans="1:6" ht="15.6" x14ac:dyDescent="0.3">
      <c r="A103" s="3"/>
      <c r="B103" s="3"/>
      <c r="C103" s="3">
        <f t="shared" si="6"/>
        <v>-312000</v>
      </c>
      <c r="D103" s="7"/>
      <c r="E103" s="8"/>
      <c r="F103" s="7"/>
    </row>
    <row r="104" spans="1:6" ht="15.6" x14ac:dyDescent="0.3">
      <c r="A104" s="3"/>
      <c r="B104" s="3"/>
      <c r="C104" s="3">
        <f t="shared" si="6"/>
        <v>-312000</v>
      </c>
      <c r="D104" s="7"/>
      <c r="E104" s="8"/>
      <c r="F104" s="7"/>
    </row>
    <row r="105" spans="1:6" ht="15.6" x14ac:dyDescent="0.3">
      <c r="A105" s="3"/>
      <c r="B105" s="3"/>
      <c r="C105" s="3">
        <f t="shared" si="6"/>
        <v>-312000</v>
      </c>
      <c r="D105" s="7"/>
      <c r="E105" s="8"/>
      <c r="F105" s="7"/>
    </row>
    <row r="106" spans="1:6" ht="15.6" x14ac:dyDescent="0.3">
      <c r="A106" s="3"/>
      <c r="B106" s="3"/>
      <c r="C106" s="3">
        <f t="shared" si="6"/>
        <v>-312000</v>
      </c>
      <c r="D106" s="7"/>
      <c r="E106" s="8"/>
      <c r="F106" s="7"/>
    </row>
    <row r="107" spans="1:6" ht="15.6" x14ac:dyDescent="0.3">
      <c r="A107" s="3"/>
      <c r="B107" s="3"/>
      <c r="C107" s="3">
        <f t="shared" si="6"/>
        <v>-312000</v>
      </c>
      <c r="D107" s="7"/>
      <c r="E107" s="8"/>
      <c r="F107" s="7"/>
    </row>
    <row r="108" spans="1:6" ht="15.6" x14ac:dyDescent="0.3">
      <c r="A108" s="3"/>
      <c r="B108" s="3"/>
      <c r="C108" s="3">
        <f t="shared" si="6"/>
        <v>-312000</v>
      </c>
      <c r="D108" s="7"/>
      <c r="E108" s="8"/>
      <c r="F108" s="7"/>
    </row>
    <row r="109" spans="1:6" ht="15.6" x14ac:dyDescent="0.3">
      <c r="A109" s="3"/>
      <c r="B109" s="3"/>
      <c r="C109" s="3">
        <f t="shared" si="6"/>
        <v>-312000</v>
      </c>
      <c r="D109" s="7"/>
      <c r="E109" s="8"/>
      <c r="F109" s="7"/>
    </row>
    <row r="110" spans="1:6" ht="15.6" x14ac:dyDescent="0.3">
      <c r="A110" s="3"/>
      <c r="B110" s="3"/>
      <c r="C110" s="3">
        <f t="shared" si="6"/>
        <v>-312000</v>
      </c>
      <c r="D110" s="7"/>
      <c r="E110" s="8"/>
      <c r="F110" s="7"/>
    </row>
    <row r="111" spans="1:6" ht="15.6" x14ac:dyDescent="0.3">
      <c r="A111" s="3"/>
      <c r="B111" s="3"/>
      <c r="C111" s="3">
        <f t="shared" si="6"/>
        <v>-312000</v>
      </c>
      <c r="D111" s="7"/>
      <c r="E111" s="8"/>
      <c r="F111" s="7"/>
    </row>
    <row r="112" spans="1:6" ht="15.6" x14ac:dyDescent="0.3">
      <c r="A112" s="3"/>
      <c r="B112" s="3"/>
      <c r="C112" s="3">
        <f t="shared" si="6"/>
        <v>-312000</v>
      </c>
      <c r="D112" s="7"/>
      <c r="E112" s="8"/>
      <c r="F112" s="7"/>
    </row>
    <row r="113" spans="1:6" ht="15.6" x14ac:dyDescent="0.3">
      <c r="A113" s="3"/>
      <c r="B113" s="3"/>
      <c r="C113" s="3">
        <f t="shared" si="6"/>
        <v>-312000</v>
      </c>
      <c r="D113" s="7"/>
      <c r="E113" s="8"/>
      <c r="F113" s="7"/>
    </row>
    <row r="114" spans="1:6" ht="15.6" x14ac:dyDescent="0.3">
      <c r="A114" s="3"/>
      <c r="B114" s="3"/>
      <c r="C114" s="3">
        <f t="shared" si="6"/>
        <v>-312000</v>
      </c>
      <c r="D114" s="7"/>
      <c r="E114" s="8"/>
      <c r="F114" s="7"/>
    </row>
    <row r="115" spans="1:6" ht="15.6" x14ac:dyDescent="0.3">
      <c r="A115" s="3"/>
      <c r="B115" s="3"/>
      <c r="C115" s="3">
        <f t="shared" si="6"/>
        <v>-312000</v>
      </c>
      <c r="D115" s="7"/>
      <c r="E115" s="8"/>
      <c r="F115" s="7"/>
    </row>
    <row r="116" spans="1:6" ht="15.6" x14ac:dyDescent="0.3">
      <c r="A116" s="3"/>
      <c r="B116" s="3"/>
      <c r="C116" s="3">
        <f t="shared" si="6"/>
        <v>-312000</v>
      </c>
      <c r="D116" s="7"/>
      <c r="E116" s="8"/>
      <c r="F116" s="7"/>
    </row>
    <row r="117" spans="1:6" ht="15.6" x14ac:dyDescent="0.3">
      <c r="A117" s="3"/>
      <c r="B117" s="3"/>
      <c r="C117" s="3">
        <f t="shared" si="6"/>
        <v>-312000</v>
      </c>
      <c r="D117" s="7"/>
      <c r="E117" s="8"/>
      <c r="F117" s="7"/>
    </row>
    <row r="118" spans="1:6" ht="15.6" x14ac:dyDescent="0.3">
      <c r="A118" s="3"/>
      <c r="B118" s="3"/>
      <c r="C118" s="3">
        <f t="shared" si="6"/>
        <v>-312000</v>
      </c>
      <c r="D118" s="7"/>
      <c r="E118" s="8"/>
      <c r="F118" s="7"/>
    </row>
    <row r="119" spans="1:6" ht="15.6" x14ac:dyDescent="0.3">
      <c r="A119" s="3"/>
      <c r="B119" s="3"/>
      <c r="C119" s="3">
        <f t="shared" si="6"/>
        <v>-312000</v>
      </c>
      <c r="D119" s="7"/>
      <c r="E119" s="8"/>
      <c r="F119" s="7"/>
    </row>
    <row r="120" spans="1:6" ht="15.6" x14ac:dyDescent="0.3">
      <c r="A120" s="3"/>
      <c r="B120" s="3"/>
      <c r="C120" s="3">
        <f t="shared" si="6"/>
        <v>-312000</v>
      </c>
      <c r="D120" s="7"/>
      <c r="E120" s="8"/>
      <c r="F120" s="7"/>
    </row>
    <row r="121" spans="1:6" ht="15.6" x14ac:dyDescent="0.3">
      <c r="A121" s="3"/>
      <c r="B121" s="3"/>
      <c r="C121" s="3">
        <f t="shared" si="6"/>
        <v>-312000</v>
      </c>
      <c r="D121" s="7"/>
      <c r="E121" s="8"/>
      <c r="F121" s="7"/>
    </row>
    <row r="122" spans="1:6" ht="15.6" x14ac:dyDescent="0.3">
      <c r="A122" s="3"/>
      <c r="B122" s="3"/>
      <c r="C122" s="3">
        <f t="shared" si="6"/>
        <v>-312000</v>
      </c>
      <c r="D122" s="7"/>
      <c r="E122" s="8"/>
      <c r="F122" s="7"/>
    </row>
    <row r="123" spans="1:6" ht="15.6" x14ac:dyDescent="0.3">
      <c r="A123" s="3"/>
      <c r="B123" s="3"/>
      <c r="C123" s="3">
        <f t="shared" si="6"/>
        <v>-312000</v>
      </c>
      <c r="D123" s="7"/>
      <c r="E123" s="8"/>
      <c r="F123" s="7"/>
    </row>
    <row r="124" spans="1:6" ht="15.6" x14ac:dyDescent="0.3">
      <c r="A124" s="3"/>
      <c r="B124" s="3"/>
      <c r="C124" s="3">
        <f t="shared" si="6"/>
        <v>-312000</v>
      </c>
      <c r="D124" s="7"/>
      <c r="E124" s="8"/>
      <c r="F124" s="7"/>
    </row>
    <row r="125" spans="1:6" ht="15.6" x14ac:dyDescent="0.3">
      <c r="A125" s="3"/>
      <c r="B125" s="3"/>
      <c r="C125" s="3">
        <f t="shared" si="6"/>
        <v>-312000</v>
      </c>
      <c r="D125" s="7"/>
      <c r="E125" s="8"/>
      <c r="F125" s="7"/>
    </row>
    <row r="126" spans="1:6" ht="15.6" x14ac:dyDescent="0.3">
      <c r="A126" s="3"/>
      <c r="B126" s="3"/>
      <c r="C126" s="3">
        <f t="shared" si="6"/>
        <v>-312000</v>
      </c>
      <c r="D126" s="7"/>
      <c r="E126" s="8"/>
      <c r="F126" s="7"/>
    </row>
    <row r="127" spans="1:6" ht="15.6" x14ac:dyDescent="0.3">
      <c r="A127" s="3"/>
      <c r="B127" s="3"/>
      <c r="C127" s="3">
        <f t="shared" si="6"/>
        <v>-312000</v>
      </c>
      <c r="D127" s="7"/>
      <c r="E127" s="8"/>
      <c r="F127" s="7"/>
    </row>
    <row r="128" spans="1:6" ht="15.6" x14ac:dyDescent="0.3">
      <c r="A128" s="3"/>
      <c r="B128" s="3"/>
      <c r="C128" s="3">
        <f t="shared" si="6"/>
        <v>-312000</v>
      </c>
      <c r="D128" s="7"/>
      <c r="E128" s="8"/>
      <c r="F128" s="7"/>
    </row>
    <row r="129" spans="1:6" ht="15.6" x14ac:dyDescent="0.3">
      <c r="A129" s="3"/>
      <c r="B129" s="3"/>
      <c r="C129" s="3">
        <f t="shared" si="6"/>
        <v>-312000</v>
      </c>
      <c r="D129" s="7"/>
      <c r="E129" s="8"/>
      <c r="F129" s="7"/>
    </row>
    <row r="130" spans="1:6" ht="15.6" x14ac:dyDescent="0.3">
      <c r="A130" s="3"/>
      <c r="B130" s="3"/>
      <c r="C130" s="3">
        <f t="shared" si="6"/>
        <v>-312000</v>
      </c>
      <c r="D130" s="7"/>
      <c r="E130" s="8"/>
      <c r="F130" s="7"/>
    </row>
    <row r="131" spans="1:6" ht="15.6" x14ac:dyDescent="0.3">
      <c r="A131" s="3"/>
      <c r="B131" s="3"/>
      <c r="C131" s="3">
        <f t="shared" si="6"/>
        <v>-312000</v>
      </c>
      <c r="D131" s="7"/>
      <c r="E131" s="8"/>
      <c r="F131" s="7"/>
    </row>
    <row r="132" spans="1:6" ht="15.6" x14ac:dyDescent="0.3">
      <c r="A132" s="3"/>
      <c r="B132" s="3"/>
      <c r="C132" s="3">
        <f t="shared" si="6"/>
        <v>-312000</v>
      </c>
      <c r="D132" s="7"/>
      <c r="E132" s="8"/>
      <c r="F132" s="7"/>
    </row>
    <row r="133" spans="1:6" ht="15.6" x14ac:dyDescent="0.3">
      <c r="A133" s="3"/>
      <c r="B133" s="3"/>
      <c r="C133" s="3">
        <f t="shared" si="6"/>
        <v>-312000</v>
      </c>
      <c r="D133" s="7"/>
      <c r="E133" s="8"/>
      <c r="F133" s="7"/>
    </row>
    <row r="134" spans="1:6" ht="15.6" x14ac:dyDescent="0.3">
      <c r="A134" s="3"/>
      <c r="B134" s="3"/>
      <c r="C134" s="3">
        <f t="shared" si="6"/>
        <v>-312000</v>
      </c>
      <c r="D134" s="7"/>
      <c r="E134" s="8"/>
      <c r="F134" s="7"/>
    </row>
    <row r="135" spans="1:6" ht="15.6" x14ac:dyDescent="0.3">
      <c r="A135" s="3"/>
      <c r="B135" s="3"/>
      <c r="C135" s="3">
        <f t="shared" ref="C135:C152" si="7">IF(A135&gt;0,C134+A135-B135,C134-B135)</f>
        <v>-312000</v>
      </c>
      <c r="D135" s="7"/>
      <c r="E135" s="8"/>
      <c r="F135" s="7"/>
    </row>
    <row r="136" spans="1:6" ht="15.6" x14ac:dyDescent="0.3">
      <c r="A136" s="3"/>
      <c r="B136" s="3"/>
      <c r="C136" s="3">
        <f t="shared" si="7"/>
        <v>-312000</v>
      </c>
      <c r="D136" s="7"/>
      <c r="E136" s="8"/>
      <c r="F136" s="7"/>
    </row>
    <row r="137" spans="1:6" ht="15.6" x14ac:dyDescent="0.3">
      <c r="A137" s="3"/>
      <c r="B137" s="3"/>
      <c r="C137" s="3">
        <f t="shared" si="7"/>
        <v>-312000</v>
      </c>
      <c r="D137" s="7"/>
      <c r="E137" s="8"/>
      <c r="F137" s="7"/>
    </row>
    <row r="138" spans="1:6" ht="15.6" x14ac:dyDescent="0.3">
      <c r="A138" s="3"/>
      <c r="B138" s="3"/>
      <c r="C138" s="3">
        <f t="shared" si="7"/>
        <v>-312000</v>
      </c>
      <c r="D138" s="7"/>
      <c r="E138" s="8"/>
      <c r="F138" s="7"/>
    </row>
    <row r="139" spans="1:6" ht="15.6" x14ac:dyDescent="0.3">
      <c r="A139" s="3"/>
      <c r="B139" s="3"/>
      <c r="C139" s="3">
        <f t="shared" si="7"/>
        <v>-312000</v>
      </c>
      <c r="D139" s="7"/>
      <c r="E139" s="8"/>
      <c r="F139" s="7"/>
    </row>
    <row r="140" spans="1:6" ht="15.6" x14ac:dyDescent="0.3">
      <c r="A140" s="3"/>
      <c r="B140" s="3"/>
      <c r="C140" s="3">
        <f t="shared" si="7"/>
        <v>-312000</v>
      </c>
      <c r="D140" s="7"/>
      <c r="E140" s="8"/>
      <c r="F140" s="7"/>
    </row>
    <row r="141" spans="1:6" ht="15.6" x14ac:dyDescent="0.3">
      <c r="A141" s="3"/>
      <c r="B141" s="3"/>
      <c r="C141" s="3">
        <f t="shared" si="7"/>
        <v>-312000</v>
      </c>
      <c r="D141" s="7"/>
      <c r="E141" s="8"/>
      <c r="F141" s="7"/>
    </row>
    <row r="142" spans="1:6" ht="15.6" x14ac:dyDescent="0.3">
      <c r="A142" s="3"/>
      <c r="B142" s="3"/>
      <c r="C142" s="3">
        <f t="shared" si="7"/>
        <v>-312000</v>
      </c>
      <c r="D142" s="7"/>
      <c r="E142" s="8"/>
      <c r="F142" s="7"/>
    </row>
    <row r="143" spans="1:6" ht="15.6" x14ac:dyDescent="0.3">
      <c r="A143" s="3"/>
      <c r="B143" s="3"/>
      <c r="C143" s="3">
        <f t="shared" si="7"/>
        <v>-312000</v>
      </c>
      <c r="D143" s="7"/>
      <c r="E143" s="8"/>
      <c r="F143" s="7"/>
    </row>
    <row r="144" spans="1:6" ht="15.6" x14ac:dyDescent="0.3">
      <c r="A144" s="3"/>
      <c r="B144" s="3"/>
      <c r="C144" s="3">
        <f t="shared" si="7"/>
        <v>-312000</v>
      </c>
      <c r="D144" s="7"/>
      <c r="E144" s="8"/>
      <c r="F144" s="7"/>
    </row>
    <row r="145" spans="1:6" ht="15.6" x14ac:dyDescent="0.3">
      <c r="A145" s="3"/>
      <c r="B145" s="3"/>
      <c r="C145" s="3">
        <f t="shared" si="7"/>
        <v>-312000</v>
      </c>
      <c r="D145" s="7"/>
      <c r="E145" s="8"/>
      <c r="F145" s="7"/>
    </row>
    <row r="146" spans="1:6" ht="15.6" x14ac:dyDescent="0.3">
      <c r="A146" s="3"/>
      <c r="B146" s="3"/>
      <c r="C146" s="3">
        <f t="shared" si="7"/>
        <v>-312000</v>
      </c>
      <c r="D146" s="7"/>
      <c r="E146" s="8"/>
      <c r="F146" s="7"/>
    </row>
    <row r="147" spans="1:6" ht="15.6" x14ac:dyDescent="0.3">
      <c r="A147" s="3"/>
      <c r="B147" s="3"/>
      <c r="C147" s="3">
        <f t="shared" si="7"/>
        <v>-312000</v>
      </c>
      <c r="D147" s="7"/>
      <c r="E147" s="8"/>
      <c r="F147" s="7"/>
    </row>
    <row r="148" spans="1:6" ht="15.6" x14ac:dyDescent="0.3">
      <c r="A148" s="3"/>
      <c r="B148" s="3"/>
      <c r="C148" s="3">
        <f t="shared" si="7"/>
        <v>-312000</v>
      </c>
      <c r="D148" s="7"/>
      <c r="E148" s="8"/>
      <c r="F148" s="7"/>
    </row>
    <row r="149" spans="1:6" ht="15.6" x14ac:dyDescent="0.3">
      <c r="A149" s="3"/>
      <c r="B149" s="3"/>
      <c r="C149" s="3">
        <f t="shared" si="7"/>
        <v>-312000</v>
      </c>
      <c r="D149" s="7"/>
      <c r="E149" s="8"/>
      <c r="F149" s="7"/>
    </row>
    <row r="150" spans="1:6" ht="15.6" x14ac:dyDescent="0.3">
      <c r="A150" s="3"/>
      <c r="B150" s="3"/>
      <c r="C150" s="3">
        <f t="shared" si="7"/>
        <v>-312000</v>
      </c>
      <c r="D150" s="7"/>
      <c r="E150" s="8"/>
      <c r="F150" s="7"/>
    </row>
    <row r="151" spans="1:6" ht="15.6" x14ac:dyDescent="0.3">
      <c r="A151" s="3"/>
      <c r="B151" s="3"/>
      <c r="C151" s="3">
        <f t="shared" si="7"/>
        <v>-312000</v>
      </c>
      <c r="D151" s="7"/>
      <c r="E151" s="8"/>
      <c r="F151" s="7"/>
    </row>
    <row r="152" spans="1:6" ht="15.6" x14ac:dyDescent="0.3">
      <c r="A152" s="3"/>
      <c r="B152" s="3"/>
      <c r="C152" s="3">
        <f t="shared" si="7"/>
        <v>-312000</v>
      </c>
      <c r="D152" s="7"/>
      <c r="E152" s="8"/>
      <c r="F152" s="7"/>
    </row>
  </sheetData>
  <mergeCells count="4">
    <mergeCell ref="A3:C3"/>
    <mergeCell ref="J6:K6"/>
    <mergeCell ref="K22:M22"/>
    <mergeCell ref="K7:M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53"/>
  <sheetViews>
    <sheetView rightToLeft="1" workbookViewId="0">
      <pane ySplit="5" topLeftCell="A6" activePane="bottomLeft" state="frozen"/>
      <selection pane="bottomLeft" activeCell="A16" sqref="A16"/>
    </sheetView>
  </sheetViews>
  <sheetFormatPr defaultColWidth="9" defaultRowHeight="14.4" x14ac:dyDescent="0.3"/>
  <cols>
    <col min="1" max="1" width="11.33203125" customWidth="1"/>
    <col min="2" max="2" width="11.88671875" customWidth="1"/>
    <col min="3" max="3" width="12.88671875" customWidth="1"/>
    <col min="4" max="4" width="21.44140625" customWidth="1"/>
    <col min="5" max="5" width="20.44140625" bestFit="1" customWidth="1"/>
    <col min="8" max="8" width="9.109375" bestFit="1" customWidth="1"/>
    <col min="9" max="9" width="9.88671875" bestFit="1" customWidth="1"/>
    <col min="10" max="10" width="17.44140625" bestFit="1" customWidth="1"/>
    <col min="11" max="11" width="15.5546875" bestFit="1" customWidth="1"/>
    <col min="12" max="12" width="9.109375" bestFit="1" customWidth="1"/>
    <col min="13" max="13" width="11.109375" bestFit="1" customWidth="1"/>
  </cols>
  <sheetData>
    <row r="1" spans="1:13" ht="15.6" x14ac:dyDescent="0.3">
      <c r="A1" s="1"/>
      <c r="B1" s="1"/>
      <c r="C1" s="1"/>
      <c r="D1" s="1"/>
      <c r="E1" s="2"/>
      <c r="F1" s="1"/>
    </row>
    <row r="2" spans="1:13" ht="15.6" x14ac:dyDescent="0.3">
      <c r="A2" s="3">
        <f>SUBTOTAL(9,A5:A153)</f>
        <v>1800000</v>
      </c>
      <c r="B2" s="3">
        <f>SUBTOTAL(9,B5:B153)</f>
        <v>1926000</v>
      </c>
      <c r="C2" s="3">
        <f>A2-B2</f>
        <v>-126000</v>
      </c>
      <c r="D2" s="1"/>
      <c r="E2" s="2"/>
      <c r="F2" s="1"/>
    </row>
    <row r="3" spans="1:13" ht="29.25" customHeight="1" x14ac:dyDescent="0.3">
      <c r="A3" s="289" t="s">
        <v>354</v>
      </c>
      <c r="B3" s="299"/>
      <c r="C3" s="290"/>
      <c r="D3" s="5" t="s">
        <v>352</v>
      </c>
      <c r="E3" s="6"/>
      <c r="F3" s="6"/>
    </row>
    <row r="4" spans="1:13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3" ht="0.75" customHeight="1" thickBot="1" x14ac:dyDescent="0.35">
      <c r="A5" s="7"/>
      <c r="B5" s="7"/>
      <c r="C5" s="7">
        <v>0</v>
      </c>
      <c r="D5" s="7"/>
      <c r="E5" s="8"/>
      <c r="F5" s="7"/>
    </row>
    <row r="6" spans="1:13" ht="15.6" x14ac:dyDescent="0.3">
      <c r="A6" s="83"/>
      <c r="B6" s="3">
        <f>950000+700000+280000-4000</f>
        <v>1926000</v>
      </c>
      <c r="C6" s="3">
        <f>IF(A6&gt;0,C5+A6-B6,C5-B6)</f>
        <v>-1926000</v>
      </c>
      <c r="D6" s="101" t="s">
        <v>352</v>
      </c>
      <c r="E6" s="94">
        <v>45779</v>
      </c>
      <c r="F6" s="58"/>
      <c r="H6" s="138"/>
      <c r="I6" s="5" t="s">
        <v>37</v>
      </c>
      <c r="J6" s="6" t="s">
        <v>355</v>
      </c>
      <c r="K6" s="273" t="s">
        <v>356</v>
      </c>
      <c r="L6" s="274"/>
      <c r="M6" s="275"/>
    </row>
    <row r="7" spans="1:13" ht="15.6" x14ac:dyDescent="0.3">
      <c r="A7" s="36">
        <v>200000</v>
      </c>
      <c r="B7" s="83"/>
      <c r="C7" s="3">
        <f t="shared" ref="C7:C71" si="0">IF(A7&gt;0,C6+A7-B7,C6-B7)</f>
        <v>-1726000</v>
      </c>
      <c r="D7" s="158" t="s">
        <v>28</v>
      </c>
      <c r="E7" s="94">
        <v>45779</v>
      </c>
      <c r="F7" s="58"/>
      <c r="H7" s="92" t="s">
        <v>40</v>
      </c>
      <c r="I7" s="7" t="s">
        <v>6</v>
      </c>
      <c r="J7" s="41" t="s">
        <v>41</v>
      </c>
      <c r="K7" s="41" t="s">
        <v>42</v>
      </c>
      <c r="L7" s="7" t="s">
        <v>43</v>
      </c>
      <c r="M7" s="101" t="s">
        <v>7</v>
      </c>
    </row>
    <row r="8" spans="1:13" ht="15.6" x14ac:dyDescent="0.3">
      <c r="A8" s="159">
        <v>100000</v>
      </c>
      <c r="B8" s="160"/>
      <c r="C8" s="53">
        <f t="shared" si="0"/>
        <v>-1626000</v>
      </c>
      <c r="D8" s="161" t="s">
        <v>28</v>
      </c>
      <c r="E8" s="148">
        <v>45779</v>
      </c>
      <c r="F8" s="58"/>
      <c r="H8" s="92"/>
      <c r="I8" s="7"/>
      <c r="J8" s="41">
        <f>950000+700000+280000-4000</f>
        <v>1926000</v>
      </c>
      <c r="K8" s="41"/>
      <c r="L8" s="7">
        <f>J8-K8</f>
        <v>1926000</v>
      </c>
      <c r="M8" s="101" t="s">
        <v>44</v>
      </c>
    </row>
    <row r="9" spans="1:13" ht="15.6" x14ac:dyDescent="0.3">
      <c r="A9" s="156">
        <v>300000</v>
      </c>
      <c r="B9" s="83"/>
      <c r="C9" s="3">
        <f t="shared" si="0"/>
        <v>-1326000</v>
      </c>
      <c r="D9" s="75" t="s">
        <v>28</v>
      </c>
      <c r="E9" s="8" t="s">
        <v>360</v>
      </c>
      <c r="F9" s="58"/>
      <c r="H9" s="92"/>
      <c r="I9" s="8"/>
      <c r="J9" s="41"/>
      <c r="K9" s="41"/>
      <c r="L9" s="7">
        <f>L8-K9</f>
        <v>1926000</v>
      </c>
      <c r="M9" s="101"/>
    </row>
    <row r="10" spans="1:13" ht="15.6" x14ac:dyDescent="0.3">
      <c r="A10" s="156">
        <v>300000</v>
      </c>
      <c r="B10" s="83"/>
      <c r="C10" s="3">
        <f t="shared" si="0"/>
        <v>-1026000</v>
      </c>
      <c r="D10" s="75" t="s">
        <v>28</v>
      </c>
      <c r="E10" s="8">
        <v>45694</v>
      </c>
      <c r="F10" s="58"/>
      <c r="H10" s="92">
        <v>1</v>
      </c>
      <c r="I10" s="46">
        <v>45693</v>
      </c>
      <c r="J10" s="47"/>
      <c r="K10" s="47">
        <v>300000</v>
      </c>
      <c r="L10" s="48">
        <f>L9-K10</f>
        <v>1626000</v>
      </c>
      <c r="M10" s="203" t="s">
        <v>136</v>
      </c>
    </row>
    <row r="11" spans="1:13" ht="15.6" x14ac:dyDescent="0.3">
      <c r="A11" s="156">
        <v>205388</v>
      </c>
      <c r="B11" s="84"/>
      <c r="C11" s="3">
        <f t="shared" si="0"/>
        <v>-820612</v>
      </c>
      <c r="D11" s="75" t="s">
        <v>28</v>
      </c>
      <c r="E11" s="8" t="s">
        <v>361</v>
      </c>
      <c r="F11" s="58"/>
      <c r="H11" s="92">
        <v>2</v>
      </c>
      <c r="I11" s="46">
        <v>45721</v>
      </c>
      <c r="J11" s="47"/>
      <c r="K11" s="47">
        <v>300000</v>
      </c>
      <c r="L11" s="48">
        <f>L10-K11</f>
        <v>1326000</v>
      </c>
      <c r="M11" s="203" t="s">
        <v>136</v>
      </c>
    </row>
    <row r="12" spans="1:13" ht="15.6" x14ac:dyDescent="0.3">
      <c r="A12" s="156">
        <v>144612</v>
      </c>
      <c r="B12" s="83"/>
      <c r="C12" s="3">
        <f t="shared" si="0"/>
        <v>-676000</v>
      </c>
      <c r="D12" s="75" t="s">
        <v>28</v>
      </c>
      <c r="E12" s="8" t="s">
        <v>364</v>
      </c>
      <c r="F12" s="58"/>
      <c r="H12" s="92">
        <v>3</v>
      </c>
      <c r="I12" s="46">
        <v>45752</v>
      </c>
      <c r="J12" s="47"/>
      <c r="K12" s="47">
        <v>300000</v>
      </c>
      <c r="L12" s="48">
        <f t="shared" ref="L12:L18" si="1">L11-K12</f>
        <v>1026000</v>
      </c>
      <c r="M12" s="203" t="s">
        <v>136</v>
      </c>
    </row>
    <row r="13" spans="1:13" ht="15.6" x14ac:dyDescent="0.3">
      <c r="A13" s="157">
        <v>50000</v>
      </c>
      <c r="B13" s="83"/>
      <c r="C13" s="3">
        <f t="shared" si="0"/>
        <v>-626000</v>
      </c>
      <c r="D13" s="75" t="s">
        <v>28</v>
      </c>
      <c r="E13" s="8">
        <v>45698</v>
      </c>
      <c r="F13" s="58"/>
      <c r="H13" s="92">
        <v>4</v>
      </c>
      <c r="I13" s="46">
        <v>45782</v>
      </c>
      <c r="J13" s="47"/>
      <c r="K13" s="47">
        <v>300000</v>
      </c>
      <c r="L13" s="48">
        <f t="shared" si="1"/>
        <v>726000</v>
      </c>
      <c r="M13" s="203" t="s">
        <v>136</v>
      </c>
    </row>
    <row r="14" spans="1:13" ht="15.6" x14ac:dyDescent="0.3">
      <c r="A14" s="157">
        <v>250000</v>
      </c>
      <c r="B14" s="83"/>
      <c r="C14" s="3">
        <f t="shared" si="0"/>
        <v>-376000</v>
      </c>
      <c r="D14" s="75" t="s">
        <v>28</v>
      </c>
      <c r="E14" s="35" t="s">
        <v>362</v>
      </c>
      <c r="F14" s="58"/>
      <c r="H14" s="92">
        <v>5</v>
      </c>
      <c r="I14" s="46">
        <v>45813</v>
      </c>
      <c r="J14" s="47"/>
      <c r="K14" s="47">
        <v>300000</v>
      </c>
      <c r="L14" s="48">
        <f t="shared" si="1"/>
        <v>426000</v>
      </c>
      <c r="M14" s="203" t="s">
        <v>136</v>
      </c>
    </row>
    <row r="15" spans="1:13" ht="15.6" x14ac:dyDescent="0.3">
      <c r="A15" s="157">
        <v>250000</v>
      </c>
      <c r="B15" s="83"/>
      <c r="C15" s="3">
        <f t="shared" si="0"/>
        <v>-126000</v>
      </c>
      <c r="D15" s="75" t="s">
        <v>28</v>
      </c>
      <c r="E15" s="35" t="s">
        <v>365</v>
      </c>
      <c r="F15" s="58"/>
      <c r="H15" s="92">
        <v>6</v>
      </c>
      <c r="I15" s="46">
        <v>45843</v>
      </c>
      <c r="J15" s="47"/>
      <c r="K15" s="47">
        <v>300000</v>
      </c>
      <c r="L15" s="48">
        <f t="shared" si="1"/>
        <v>126000</v>
      </c>
      <c r="M15" s="203" t="s">
        <v>136</v>
      </c>
    </row>
    <row r="16" spans="1:13" ht="15.6" x14ac:dyDescent="0.3">
      <c r="A16" s="83"/>
      <c r="B16" s="83"/>
      <c r="C16" s="3">
        <f t="shared" si="0"/>
        <v>-126000</v>
      </c>
      <c r="D16" s="7"/>
      <c r="E16" s="94"/>
      <c r="F16" s="58"/>
      <c r="H16" s="92">
        <v>7</v>
      </c>
      <c r="I16" s="8">
        <v>45874</v>
      </c>
      <c r="J16" s="41"/>
      <c r="K16" s="41">
        <v>126000</v>
      </c>
      <c r="L16" s="7">
        <f t="shared" si="1"/>
        <v>0</v>
      </c>
      <c r="M16" s="101"/>
    </row>
    <row r="17" spans="1:13" ht="15.6" x14ac:dyDescent="0.3">
      <c r="A17" s="119"/>
      <c r="B17" s="119"/>
      <c r="C17" s="3">
        <f t="shared" si="0"/>
        <v>-126000</v>
      </c>
      <c r="D17" s="120"/>
      <c r="E17" s="121"/>
      <c r="F17" s="58"/>
      <c r="H17" s="92"/>
      <c r="I17" s="8"/>
      <c r="J17" s="41"/>
      <c r="K17" s="41"/>
      <c r="L17" s="7">
        <f t="shared" si="1"/>
        <v>0</v>
      </c>
      <c r="M17" s="101"/>
    </row>
    <row r="18" spans="1:13" ht="15.6" x14ac:dyDescent="0.3">
      <c r="A18" s="119"/>
      <c r="B18" s="119"/>
      <c r="C18" s="3">
        <f t="shared" si="0"/>
        <v>-126000</v>
      </c>
      <c r="D18" s="120"/>
      <c r="E18" s="121"/>
      <c r="F18" s="58"/>
      <c r="H18" s="92"/>
      <c r="I18" s="8"/>
      <c r="J18" s="41"/>
      <c r="K18" s="41"/>
      <c r="L18" s="7">
        <f t="shared" si="1"/>
        <v>0</v>
      </c>
      <c r="M18" s="101"/>
    </row>
    <row r="19" spans="1:13" ht="15.6" x14ac:dyDescent="0.3">
      <c r="A19" s="119"/>
      <c r="B19" s="119"/>
      <c r="C19" s="3">
        <f t="shared" si="0"/>
        <v>-126000</v>
      </c>
      <c r="D19" s="120"/>
      <c r="E19" s="121"/>
      <c r="F19" s="58"/>
    </row>
    <row r="20" spans="1:13" ht="15.6" x14ac:dyDescent="0.3">
      <c r="A20" s="3"/>
      <c r="B20" s="3"/>
      <c r="C20" s="3">
        <f t="shared" si="0"/>
        <v>-126000</v>
      </c>
      <c r="D20" s="7"/>
      <c r="E20" s="90"/>
      <c r="F20" s="58"/>
    </row>
    <row r="21" spans="1:13" ht="15.6" x14ac:dyDescent="0.3">
      <c r="A21" s="3"/>
      <c r="B21" s="3"/>
      <c r="C21" s="3">
        <f t="shared" si="0"/>
        <v>-126000</v>
      </c>
      <c r="D21" s="91"/>
      <c r="E21" s="8"/>
      <c r="F21" s="58"/>
    </row>
    <row r="22" spans="1:13" ht="15.6" x14ac:dyDescent="0.3">
      <c r="A22" s="3"/>
      <c r="B22" s="3"/>
      <c r="C22" s="3">
        <f t="shared" si="0"/>
        <v>-126000</v>
      </c>
      <c r="D22" s="8"/>
      <c r="E22" s="8"/>
      <c r="F22" s="58"/>
    </row>
    <row r="23" spans="1:13" ht="15.6" x14ac:dyDescent="0.3">
      <c r="A23" s="3"/>
      <c r="B23" s="3"/>
      <c r="C23" s="3">
        <f t="shared" si="0"/>
        <v>-126000</v>
      </c>
      <c r="D23" s="8"/>
      <c r="E23" s="8"/>
      <c r="F23" s="58"/>
    </row>
    <row r="24" spans="1:13" ht="15.6" x14ac:dyDescent="0.3">
      <c r="A24" s="3"/>
      <c r="B24" s="3"/>
      <c r="C24" s="3">
        <f t="shared" si="0"/>
        <v>-126000</v>
      </c>
      <c r="D24" s="8"/>
      <c r="E24" s="8"/>
      <c r="F24" s="58"/>
    </row>
    <row r="25" spans="1:13" ht="15.6" x14ac:dyDescent="0.3">
      <c r="A25" s="3"/>
      <c r="B25" s="3"/>
      <c r="C25" s="3">
        <f t="shared" si="0"/>
        <v>-126000</v>
      </c>
      <c r="D25" s="8"/>
      <c r="E25" s="8"/>
      <c r="F25" s="58"/>
    </row>
    <row r="26" spans="1:13" ht="15.6" x14ac:dyDescent="0.3">
      <c r="A26" s="3"/>
      <c r="B26" s="3"/>
      <c r="C26" s="3">
        <f t="shared" si="0"/>
        <v>-126000</v>
      </c>
      <c r="D26" s="8"/>
      <c r="E26" s="8"/>
      <c r="F26" s="58"/>
    </row>
    <row r="27" spans="1:13" ht="15.6" x14ac:dyDescent="0.3">
      <c r="A27" s="3"/>
      <c r="B27" s="3"/>
      <c r="C27" s="3">
        <f t="shared" si="0"/>
        <v>-126000</v>
      </c>
      <c r="D27" s="8"/>
      <c r="E27" s="8"/>
      <c r="F27" s="58"/>
    </row>
    <row r="28" spans="1:13" ht="15.6" x14ac:dyDescent="0.3">
      <c r="A28" s="3"/>
      <c r="B28" s="3"/>
      <c r="C28" s="3">
        <f t="shared" si="0"/>
        <v>-126000</v>
      </c>
      <c r="D28" s="8"/>
      <c r="E28" s="8"/>
      <c r="F28" s="58"/>
    </row>
    <row r="29" spans="1:13" ht="15.6" x14ac:dyDescent="0.3">
      <c r="A29" s="3"/>
      <c r="B29" s="3"/>
      <c r="C29" s="3">
        <f t="shared" si="0"/>
        <v>-126000</v>
      </c>
      <c r="D29" s="8"/>
      <c r="E29" s="8"/>
      <c r="F29" s="58"/>
    </row>
    <row r="30" spans="1:13" ht="15.6" x14ac:dyDescent="0.3">
      <c r="A30" s="3"/>
      <c r="B30" s="3"/>
      <c r="C30" s="3">
        <f t="shared" si="0"/>
        <v>-126000</v>
      </c>
      <c r="D30" s="7"/>
      <c r="E30" s="8"/>
      <c r="F30" s="58"/>
    </row>
    <row r="31" spans="1:13" ht="15.6" x14ac:dyDescent="0.3">
      <c r="A31" s="3"/>
      <c r="B31" s="3"/>
      <c r="C31" s="3">
        <f t="shared" si="0"/>
        <v>-126000</v>
      </c>
      <c r="D31" s="7"/>
      <c r="E31" s="8"/>
      <c r="F31" s="58"/>
    </row>
    <row r="32" spans="1:13" ht="15.6" x14ac:dyDescent="0.3">
      <c r="A32" s="3"/>
      <c r="B32" s="3"/>
      <c r="C32" s="3">
        <f>IF(A32&gt;0,C31+A32-B32,C31-B32)</f>
        <v>-126000</v>
      </c>
      <c r="D32" s="7"/>
      <c r="E32" s="8"/>
      <c r="F32" s="58"/>
    </row>
    <row r="33" spans="1:6" ht="15.6" x14ac:dyDescent="0.3">
      <c r="A33" s="3"/>
      <c r="B33" s="3"/>
      <c r="C33" s="3">
        <f t="shared" si="0"/>
        <v>-126000</v>
      </c>
      <c r="D33" s="7"/>
      <c r="E33" s="8"/>
      <c r="F33" s="58"/>
    </row>
    <row r="34" spans="1:6" ht="15.6" x14ac:dyDescent="0.3">
      <c r="A34" s="3"/>
      <c r="B34" s="3"/>
      <c r="C34" s="3">
        <f t="shared" si="0"/>
        <v>-126000</v>
      </c>
      <c r="D34" s="7"/>
      <c r="E34" s="8"/>
      <c r="F34" s="58"/>
    </row>
    <row r="35" spans="1:6" ht="15.6" x14ac:dyDescent="0.3">
      <c r="A35" s="3"/>
      <c r="B35" s="3"/>
      <c r="C35" s="3">
        <f t="shared" si="0"/>
        <v>-126000</v>
      </c>
      <c r="D35" s="7"/>
      <c r="E35" s="8"/>
      <c r="F35" s="58"/>
    </row>
    <row r="36" spans="1:6" ht="15.6" x14ac:dyDescent="0.3">
      <c r="A36" s="3"/>
      <c r="B36" s="3"/>
      <c r="C36" s="3">
        <f t="shared" si="0"/>
        <v>-126000</v>
      </c>
      <c r="D36" s="7"/>
      <c r="E36" s="8"/>
      <c r="F36" s="58"/>
    </row>
    <row r="37" spans="1:6" ht="15.6" x14ac:dyDescent="0.3">
      <c r="A37" s="3"/>
      <c r="B37" s="3"/>
      <c r="C37" s="3">
        <f>IF(A37&gt;0,C36+A37-B37,C36-B37)</f>
        <v>-126000</v>
      </c>
      <c r="D37" s="7"/>
      <c r="E37" s="8"/>
      <c r="F37" s="58"/>
    </row>
    <row r="38" spans="1:6" ht="15.6" x14ac:dyDescent="0.3">
      <c r="A38" s="3"/>
      <c r="B38" s="3"/>
      <c r="C38" s="3">
        <f t="shared" si="0"/>
        <v>-126000</v>
      </c>
      <c r="D38" s="7"/>
      <c r="E38" s="8"/>
      <c r="F38" s="58"/>
    </row>
    <row r="39" spans="1:6" ht="15.6" x14ac:dyDescent="0.3">
      <c r="A39" s="3"/>
      <c r="B39" s="3"/>
      <c r="C39" s="3">
        <f t="shared" si="0"/>
        <v>-126000</v>
      </c>
      <c r="D39" s="7"/>
      <c r="E39" s="8"/>
      <c r="F39" s="58"/>
    </row>
    <row r="40" spans="1:6" ht="15.6" x14ac:dyDescent="0.3">
      <c r="A40" s="3"/>
      <c r="B40" s="3"/>
      <c r="C40" s="3">
        <f t="shared" si="0"/>
        <v>-126000</v>
      </c>
      <c r="D40" s="7"/>
      <c r="E40" s="8"/>
      <c r="F40" s="58"/>
    </row>
    <row r="41" spans="1:6" ht="15.6" x14ac:dyDescent="0.3">
      <c r="A41" s="3"/>
      <c r="B41" s="3"/>
      <c r="C41" s="3">
        <f t="shared" si="0"/>
        <v>-126000</v>
      </c>
      <c r="D41" s="7"/>
      <c r="E41" s="8"/>
      <c r="F41" s="58"/>
    </row>
    <row r="42" spans="1:6" ht="15.6" x14ac:dyDescent="0.3">
      <c r="A42" s="3"/>
      <c r="B42" s="3"/>
      <c r="C42" s="3">
        <f t="shared" si="0"/>
        <v>-126000</v>
      </c>
      <c r="D42" s="7"/>
      <c r="E42" s="8"/>
      <c r="F42" s="58"/>
    </row>
    <row r="43" spans="1:6" ht="15.6" x14ac:dyDescent="0.3">
      <c r="A43" s="3"/>
      <c r="B43" s="3"/>
      <c r="C43" s="3">
        <f t="shared" si="0"/>
        <v>-126000</v>
      </c>
      <c r="D43" s="7"/>
      <c r="E43" s="8"/>
      <c r="F43" s="58"/>
    </row>
    <row r="44" spans="1:6" ht="15.6" x14ac:dyDescent="0.3">
      <c r="A44" s="3"/>
      <c r="B44" s="3"/>
      <c r="C44" s="3">
        <f t="shared" si="0"/>
        <v>-126000</v>
      </c>
      <c r="D44" s="7"/>
      <c r="E44" s="8"/>
      <c r="F44" s="58"/>
    </row>
    <row r="45" spans="1:6" ht="15.6" x14ac:dyDescent="0.3">
      <c r="A45" s="3"/>
      <c r="B45" s="3"/>
      <c r="C45" s="3">
        <f t="shared" si="0"/>
        <v>-126000</v>
      </c>
      <c r="D45" s="7"/>
      <c r="E45" s="8"/>
      <c r="F45" s="58"/>
    </row>
    <row r="46" spans="1:6" ht="15.6" x14ac:dyDescent="0.3">
      <c r="A46" s="3"/>
      <c r="B46" s="3"/>
      <c r="C46" s="3">
        <f t="shared" si="0"/>
        <v>-126000</v>
      </c>
      <c r="D46" s="7"/>
      <c r="E46" s="8"/>
      <c r="F46" s="58"/>
    </row>
    <row r="47" spans="1:6" ht="15.6" x14ac:dyDescent="0.3">
      <c r="A47" s="3"/>
      <c r="B47" s="3"/>
      <c r="C47" s="3">
        <f t="shared" si="0"/>
        <v>-126000</v>
      </c>
      <c r="D47" s="7"/>
      <c r="E47" s="8"/>
      <c r="F47" s="58"/>
    </row>
    <row r="48" spans="1:6" ht="15.6" x14ac:dyDescent="0.3">
      <c r="A48" s="3"/>
      <c r="B48" s="3"/>
      <c r="C48" s="3">
        <f t="shared" si="0"/>
        <v>-126000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-126000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-126000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-126000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-126000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-126000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-126000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-126000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-126000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-126000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-126000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-126000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-126000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-126000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-126000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-126000</v>
      </c>
      <c r="D63" s="7"/>
      <c r="E63" s="8"/>
      <c r="F63" s="58"/>
    </row>
    <row r="64" spans="1:6" ht="15.6" x14ac:dyDescent="0.3">
      <c r="A64" s="3"/>
      <c r="B64" s="3"/>
      <c r="C64" s="3">
        <f t="shared" si="0"/>
        <v>-126000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-126000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-126000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-126000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-126000</v>
      </c>
      <c r="D68" s="7"/>
      <c r="E68" s="8"/>
      <c r="F68" s="58"/>
    </row>
    <row r="69" spans="1:6" ht="15.6" x14ac:dyDescent="0.3">
      <c r="A69" s="3"/>
      <c r="B69" s="3"/>
      <c r="C69" s="3">
        <f t="shared" si="0"/>
        <v>-126000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-126000</v>
      </c>
      <c r="D70" s="7"/>
      <c r="E70" s="8"/>
      <c r="F70" s="58"/>
    </row>
    <row r="71" spans="1:6" ht="15.6" x14ac:dyDescent="0.3">
      <c r="A71" s="3"/>
      <c r="B71" s="3"/>
      <c r="C71" s="3">
        <f t="shared" si="0"/>
        <v>-126000</v>
      </c>
      <c r="D71" s="52"/>
      <c r="E71" s="8"/>
      <c r="F71" s="58"/>
    </row>
    <row r="72" spans="1:6" ht="15.6" x14ac:dyDescent="0.3">
      <c r="A72" s="3"/>
      <c r="B72" s="3"/>
      <c r="C72" s="3">
        <f t="shared" ref="C72:C135" si="2">IF(A72&gt;0,C71+A72-B72,C71-B72)</f>
        <v>-126000</v>
      </c>
      <c r="D72" s="7"/>
      <c r="E72" s="8"/>
      <c r="F72" s="58"/>
    </row>
    <row r="73" spans="1:6" ht="15.6" x14ac:dyDescent="0.3">
      <c r="A73" s="3"/>
      <c r="B73" s="3"/>
      <c r="C73" s="3">
        <f t="shared" si="2"/>
        <v>-126000</v>
      </c>
      <c r="D73" s="7"/>
      <c r="E73" s="8"/>
      <c r="F73" s="58"/>
    </row>
    <row r="74" spans="1:6" ht="15.6" x14ac:dyDescent="0.3">
      <c r="A74" s="3"/>
      <c r="B74" s="3"/>
      <c r="C74" s="3">
        <f t="shared" si="2"/>
        <v>-126000</v>
      </c>
      <c r="D74" s="7"/>
      <c r="E74" s="8"/>
      <c r="F74" s="58"/>
    </row>
    <row r="75" spans="1:6" ht="15.6" x14ac:dyDescent="0.3">
      <c r="A75" s="3"/>
      <c r="B75" s="3"/>
      <c r="C75" s="3">
        <f t="shared" si="2"/>
        <v>-126000</v>
      </c>
      <c r="D75" s="7"/>
      <c r="E75" s="8"/>
      <c r="F75" s="58"/>
    </row>
    <row r="76" spans="1:6" ht="15.6" x14ac:dyDescent="0.3">
      <c r="A76" s="3"/>
      <c r="B76" s="3"/>
      <c r="C76" s="3">
        <f t="shared" si="2"/>
        <v>-126000</v>
      </c>
      <c r="D76" s="7"/>
      <c r="E76" s="8"/>
      <c r="F76" s="58"/>
    </row>
    <row r="77" spans="1:6" ht="15.6" x14ac:dyDescent="0.3">
      <c r="A77" s="3"/>
      <c r="B77" s="3"/>
      <c r="C77" s="3">
        <f t="shared" si="2"/>
        <v>-126000</v>
      </c>
      <c r="D77" s="7"/>
      <c r="E77" s="8"/>
      <c r="F77" s="58"/>
    </row>
    <row r="78" spans="1:6" ht="15.6" x14ac:dyDescent="0.3">
      <c r="A78" s="3"/>
      <c r="B78" s="3"/>
      <c r="C78" s="3">
        <f t="shared" si="2"/>
        <v>-126000</v>
      </c>
      <c r="D78" s="7"/>
      <c r="E78" s="8"/>
      <c r="F78" s="58"/>
    </row>
    <row r="79" spans="1:6" ht="15.6" x14ac:dyDescent="0.3">
      <c r="A79" s="3"/>
      <c r="B79" s="3"/>
      <c r="C79" s="3">
        <f t="shared" si="2"/>
        <v>-126000</v>
      </c>
      <c r="D79" s="7"/>
      <c r="E79" s="8"/>
      <c r="F79" s="58"/>
    </row>
    <row r="80" spans="1:6" ht="15.6" x14ac:dyDescent="0.3">
      <c r="A80" s="3"/>
      <c r="B80" s="3"/>
      <c r="C80" s="3">
        <f t="shared" si="2"/>
        <v>-126000</v>
      </c>
      <c r="D80" s="7"/>
      <c r="E80" s="8"/>
      <c r="F80" s="58"/>
    </row>
    <row r="81" spans="1:6" ht="15.6" x14ac:dyDescent="0.3">
      <c r="A81" s="3"/>
      <c r="B81" s="3"/>
      <c r="C81" s="3">
        <f t="shared" si="2"/>
        <v>-126000</v>
      </c>
      <c r="D81" s="7"/>
      <c r="E81" s="8"/>
      <c r="F81" s="58"/>
    </row>
    <row r="82" spans="1:6" ht="15.6" x14ac:dyDescent="0.3">
      <c r="A82" s="3"/>
      <c r="B82" s="3"/>
      <c r="C82" s="3">
        <f t="shared" si="2"/>
        <v>-126000</v>
      </c>
      <c r="D82" s="7"/>
      <c r="E82" s="8"/>
      <c r="F82" s="58"/>
    </row>
    <row r="83" spans="1:6" ht="15.6" x14ac:dyDescent="0.3">
      <c r="A83" s="3"/>
      <c r="B83" s="3"/>
      <c r="C83" s="3">
        <f t="shared" si="2"/>
        <v>-126000</v>
      </c>
      <c r="D83" s="7"/>
      <c r="E83" s="8"/>
      <c r="F83" s="58"/>
    </row>
    <row r="84" spans="1:6" ht="15.6" x14ac:dyDescent="0.3">
      <c r="A84" s="3"/>
      <c r="B84" s="3"/>
      <c r="C84" s="3">
        <f t="shared" si="2"/>
        <v>-126000</v>
      </c>
      <c r="D84" s="7"/>
      <c r="E84" s="8"/>
      <c r="F84" s="58"/>
    </row>
    <row r="85" spans="1:6" ht="15.6" x14ac:dyDescent="0.3">
      <c r="A85" s="3"/>
      <c r="B85" s="3"/>
      <c r="C85" s="3">
        <f t="shared" si="2"/>
        <v>-126000</v>
      </c>
      <c r="D85" s="7"/>
      <c r="E85" s="8"/>
      <c r="F85" s="58"/>
    </row>
    <row r="86" spans="1:6" ht="15.6" x14ac:dyDescent="0.3">
      <c r="A86" s="3"/>
      <c r="B86" s="3"/>
      <c r="C86" s="3">
        <f t="shared" si="2"/>
        <v>-126000</v>
      </c>
      <c r="D86" s="7"/>
      <c r="E86" s="8"/>
      <c r="F86" s="58"/>
    </row>
    <row r="87" spans="1:6" ht="15.6" x14ac:dyDescent="0.3">
      <c r="A87" s="3"/>
      <c r="B87" s="3"/>
      <c r="C87" s="3">
        <f t="shared" si="2"/>
        <v>-126000</v>
      </c>
      <c r="D87" s="7"/>
      <c r="E87" s="8"/>
      <c r="F87" s="58"/>
    </row>
    <row r="88" spans="1:6" ht="15.6" x14ac:dyDescent="0.3">
      <c r="A88" s="3"/>
      <c r="B88" s="3"/>
      <c r="C88" s="3">
        <f t="shared" si="2"/>
        <v>-126000</v>
      </c>
      <c r="D88" s="7"/>
      <c r="E88" s="8"/>
      <c r="F88" s="58"/>
    </row>
    <row r="89" spans="1:6" ht="15.6" x14ac:dyDescent="0.3">
      <c r="A89" s="3"/>
      <c r="B89" s="3"/>
      <c r="C89" s="3">
        <f t="shared" si="2"/>
        <v>-126000</v>
      </c>
      <c r="D89" s="7"/>
      <c r="E89" s="8"/>
      <c r="F89" s="58"/>
    </row>
    <row r="90" spans="1:6" ht="15.6" x14ac:dyDescent="0.3">
      <c r="A90" s="3"/>
      <c r="B90" s="3"/>
      <c r="C90" s="3">
        <f t="shared" si="2"/>
        <v>-126000</v>
      </c>
      <c r="D90" s="7"/>
      <c r="E90" s="8"/>
      <c r="F90" s="7"/>
    </row>
    <row r="91" spans="1:6" ht="15.6" x14ac:dyDescent="0.3">
      <c r="A91" s="3"/>
      <c r="B91" s="3"/>
      <c r="C91" s="3">
        <f t="shared" si="2"/>
        <v>-126000</v>
      </c>
      <c r="D91" s="7"/>
      <c r="E91" s="8"/>
      <c r="F91" s="7"/>
    </row>
    <row r="92" spans="1:6" ht="15.6" x14ac:dyDescent="0.3">
      <c r="A92" s="3"/>
      <c r="B92" s="3"/>
      <c r="C92" s="3">
        <f t="shared" si="2"/>
        <v>-126000</v>
      </c>
      <c r="D92" s="7"/>
      <c r="E92" s="8"/>
      <c r="F92" s="7"/>
    </row>
    <row r="93" spans="1:6" ht="15.6" x14ac:dyDescent="0.3">
      <c r="A93" s="3"/>
      <c r="B93" s="3"/>
      <c r="C93" s="3">
        <f t="shared" si="2"/>
        <v>-126000</v>
      </c>
      <c r="D93" s="7"/>
      <c r="E93" s="8"/>
      <c r="F93" s="7"/>
    </row>
    <row r="94" spans="1:6" ht="15.6" x14ac:dyDescent="0.3">
      <c r="A94" s="3"/>
      <c r="B94" s="3"/>
      <c r="C94" s="3">
        <f t="shared" si="2"/>
        <v>-126000</v>
      </c>
      <c r="D94" s="7"/>
      <c r="E94" s="8"/>
      <c r="F94" s="7"/>
    </row>
    <row r="95" spans="1:6" ht="15.6" x14ac:dyDescent="0.3">
      <c r="A95" s="3"/>
      <c r="B95" s="3"/>
      <c r="C95" s="3">
        <f t="shared" si="2"/>
        <v>-126000</v>
      </c>
      <c r="D95" s="7"/>
      <c r="E95" s="8"/>
      <c r="F95" s="7"/>
    </row>
    <row r="96" spans="1:6" ht="15.6" x14ac:dyDescent="0.3">
      <c r="A96" s="3"/>
      <c r="B96" s="3"/>
      <c r="C96" s="3">
        <f t="shared" si="2"/>
        <v>-126000</v>
      </c>
      <c r="D96" s="7"/>
      <c r="E96" s="8"/>
      <c r="F96" s="7"/>
    </row>
    <row r="97" spans="1:6" ht="15.6" x14ac:dyDescent="0.3">
      <c r="A97" s="3"/>
      <c r="B97" s="3"/>
      <c r="C97" s="3">
        <f t="shared" si="2"/>
        <v>-126000</v>
      </c>
      <c r="D97" s="7"/>
      <c r="E97" s="8"/>
      <c r="F97" s="7"/>
    </row>
    <row r="98" spans="1:6" ht="15.6" x14ac:dyDescent="0.3">
      <c r="A98" s="3"/>
      <c r="B98" s="3"/>
      <c r="C98" s="3">
        <f t="shared" si="2"/>
        <v>-126000</v>
      </c>
      <c r="D98" s="7"/>
      <c r="E98" s="8"/>
      <c r="F98" s="7"/>
    </row>
    <row r="99" spans="1:6" ht="15.6" x14ac:dyDescent="0.3">
      <c r="A99" s="3"/>
      <c r="B99" s="3"/>
      <c r="C99" s="3">
        <f t="shared" si="2"/>
        <v>-126000</v>
      </c>
      <c r="D99" s="7"/>
      <c r="E99" s="8"/>
      <c r="F99" s="7"/>
    </row>
    <row r="100" spans="1:6" ht="15.6" x14ac:dyDescent="0.3">
      <c r="A100" s="3"/>
      <c r="B100" s="3"/>
      <c r="C100" s="3">
        <f t="shared" si="2"/>
        <v>-126000</v>
      </c>
      <c r="D100" s="7"/>
      <c r="E100" s="8"/>
      <c r="F100" s="7"/>
    </row>
    <row r="101" spans="1:6" ht="15.6" x14ac:dyDescent="0.3">
      <c r="A101" s="3"/>
      <c r="B101" s="3"/>
      <c r="C101" s="3">
        <f t="shared" si="2"/>
        <v>-126000</v>
      </c>
      <c r="D101" s="7"/>
      <c r="E101" s="8"/>
      <c r="F101" s="7"/>
    </row>
    <row r="102" spans="1:6" ht="15.6" x14ac:dyDescent="0.3">
      <c r="A102" s="3"/>
      <c r="B102" s="3"/>
      <c r="C102" s="3">
        <f t="shared" si="2"/>
        <v>-126000</v>
      </c>
      <c r="D102" s="7"/>
      <c r="E102" s="8"/>
      <c r="F102" s="7"/>
    </row>
    <row r="103" spans="1:6" ht="15.6" x14ac:dyDescent="0.3">
      <c r="A103" s="3"/>
      <c r="B103" s="3"/>
      <c r="C103" s="3">
        <f t="shared" si="2"/>
        <v>-126000</v>
      </c>
      <c r="D103" s="7"/>
      <c r="E103" s="8"/>
      <c r="F103" s="7"/>
    </row>
    <row r="104" spans="1:6" ht="15.6" x14ac:dyDescent="0.3">
      <c r="A104" s="3"/>
      <c r="B104" s="3"/>
      <c r="C104" s="3">
        <f t="shared" si="2"/>
        <v>-126000</v>
      </c>
      <c r="D104" s="7"/>
      <c r="E104" s="8"/>
      <c r="F104" s="7"/>
    </row>
    <row r="105" spans="1:6" ht="15.6" x14ac:dyDescent="0.3">
      <c r="A105" s="3"/>
      <c r="B105" s="3"/>
      <c r="C105" s="3">
        <f t="shared" si="2"/>
        <v>-126000</v>
      </c>
      <c r="D105" s="7"/>
      <c r="E105" s="8"/>
      <c r="F105" s="7"/>
    </row>
    <row r="106" spans="1:6" ht="15.6" x14ac:dyDescent="0.3">
      <c r="A106" s="3"/>
      <c r="B106" s="3"/>
      <c r="C106" s="3">
        <f t="shared" si="2"/>
        <v>-126000</v>
      </c>
      <c r="D106" s="7"/>
      <c r="E106" s="8"/>
      <c r="F106" s="7"/>
    </row>
    <row r="107" spans="1:6" ht="15.6" x14ac:dyDescent="0.3">
      <c r="A107" s="3"/>
      <c r="B107" s="3"/>
      <c r="C107" s="3">
        <f t="shared" si="2"/>
        <v>-126000</v>
      </c>
      <c r="D107" s="7"/>
      <c r="E107" s="8"/>
      <c r="F107" s="7"/>
    </row>
    <row r="108" spans="1:6" ht="15.6" x14ac:dyDescent="0.3">
      <c r="A108" s="3"/>
      <c r="B108" s="3"/>
      <c r="C108" s="3">
        <f t="shared" si="2"/>
        <v>-126000</v>
      </c>
      <c r="D108" s="7"/>
      <c r="E108" s="8"/>
      <c r="F108" s="7"/>
    </row>
    <row r="109" spans="1:6" ht="15.6" x14ac:dyDescent="0.3">
      <c r="A109" s="3"/>
      <c r="B109" s="3"/>
      <c r="C109" s="3">
        <f t="shared" si="2"/>
        <v>-126000</v>
      </c>
      <c r="D109" s="7"/>
      <c r="E109" s="8"/>
      <c r="F109" s="7"/>
    </row>
    <row r="110" spans="1:6" ht="15.6" x14ac:dyDescent="0.3">
      <c r="A110" s="3"/>
      <c r="B110" s="3"/>
      <c r="C110" s="3">
        <f t="shared" si="2"/>
        <v>-126000</v>
      </c>
      <c r="D110" s="7"/>
      <c r="E110" s="8"/>
      <c r="F110" s="7"/>
    </row>
    <row r="111" spans="1:6" ht="15.6" x14ac:dyDescent="0.3">
      <c r="A111" s="3"/>
      <c r="B111" s="3"/>
      <c r="C111" s="3">
        <f t="shared" si="2"/>
        <v>-126000</v>
      </c>
      <c r="D111" s="7"/>
      <c r="E111" s="8"/>
      <c r="F111" s="7"/>
    </row>
    <row r="112" spans="1:6" ht="15.6" x14ac:dyDescent="0.3">
      <c r="A112" s="3"/>
      <c r="B112" s="3"/>
      <c r="C112" s="3">
        <f t="shared" si="2"/>
        <v>-126000</v>
      </c>
      <c r="D112" s="7"/>
      <c r="E112" s="8"/>
      <c r="F112" s="7"/>
    </row>
    <row r="113" spans="1:6" ht="15.6" x14ac:dyDescent="0.3">
      <c r="A113" s="3"/>
      <c r="B113" s="3"/>
      <c r="C113" s="3">
        <f t="shared" si="2"/>
        <v>-126000</v>
      </c>
      <c r="D113" s="7"/>
      <c r="E113" s="8"/>
      <c r="F113" s="7"/>
    </row>
    <row r="114" spans="1:6" ht="15.6" x14ac:dyDescent="0.3">
      <c r="A114" s="3"/>
      <c r="B114" s="3"/>
      <c r="C114" s="3">
        <f t="shared" si="2"/>
        <v>-126000</v>
      </c>
      <c r="D114" s="7"/>
      <c r="E114" s="8"/>
      <c r="F114" s="7"/>
    </row>
    <row r="115" spans="1:6" ht="15.6" x14ac:dyDescent="0.3">
      <c r="A115" s="3"/>
      <c r="B115" s="3"/>
      <c r="C115" s="3">
        <f t="shared" si="2"/>
        <v>-126000</v>
      </c>
      <c r="D115" s="7"/>
      <c r="E115" s="8"/>
      <c r="F115" s="7"/>
    </row>
    <row r="116" spans="1:6" ht="15.6" x14ac:dyDescent="0.3">
      <c r="A116" s="3"/>
      <c r="B116" s="3"/>
      <c r="C116" s="3">
        <f t="shared" si="2"/>
        <v>-126000</v>
      </c>
      <c r="D116" s="7"/>
      <c r="E116" s="8"/>
      <c r="F116" s="7"/>
    </row>
    <row r="117" spans="1:6" ht="15.6" x14ac:dyDescent="0.3">
      <c r="A117" s="3"/>
      <c r="B117" s="3"/>
      <c r="C117" s="3">
        <f t="shared" si="2"/>
        <v>-126000</v>
      </c>
      <c r="D117" s="7"/>
      <c r="E117" s="8"/>
      <c r="F117" s="7"/>
    </row>
    <row r="118" spans="1:6" ht="15.6" x14ac:dyDescent="0.3">
      <c r="A118" s="3"/>
      <c r="B118" s="3"/>
      <c r="C118" s="3">
        <f t="shared" si="2"/>
        <v>-126000</v>
      </c>
      <c r="D118" s="7"/>
      <c r="E118" s="8"/>
      <c r="F118" s="7"/>
    </row>
    <row r="119" spans="1:6" ht="15.6" x14ac:dyDescent="0.3">
      <c r="A119" s="3"/>
      <c r="B119" s="3"/>
      <c r="C119" s="3">
        <f t="shared" si="2"/>
        <v>-126000</v>
      </c>
      <c r="D119" s="7"/>
      <c r="E119" s="8"/>
      <c r="F119" s="7"/>
    </row>
    <row r="120" spans="1:6" ht="15.6" x14ac:dyDescent="0.3">
      <c r="A120" s="3"/>
      <c r="B120" s="3"/>
      <c r="C120" s="3">
        <f t="shared" si="2"/>
        <v>-126000</v>
      </c>
      <c r="D120" s="7"/>
      <c r="E120" s="8"/>
      <c r="F120" s="7"/>
    </row>
    <row r="121" spans="1:6" ht="15.6" x14ac:dyDescent="0.3">
      <c r="A121" s="3"/>
      <c r="B121" s="3"/>
      <c r="C121" s="3">
        <f t="shared" si="2"/>
        <v>-126000</v>
      </c>
      <c r="D121" s="7"/>
      <c r="E121" s="8"/>
      <c r="F121" s="7"/>
    </row>
    <row r="122" spans="1:6" ht="15.6" x14ac:dyDescent="0.3">
      <c r="A122" s="3"/>
      <c r="B122" s="3"/>
      <c r="C122" s="3">
        <f t="shared" si="2"/>
        <v>-126000</v>
      </c>
      <c r="D122" s="7"/>
      <c r="E122" s="8"/>
      <c r="F122" s="7"/>
    </row>
    <row r="123" spans="1:6" ht="15.6" x14ac:dyDescent="0.3">
      <c r="A123" s="3"/>
      <c r="B123" s="3"/>
      <c r="C123" s="3">
        <f t="shared" si="2"/>
        <v>-126000</v>
      </c>
      <c r="D123" s="7"/>
      <c r="E123" s="8"/>
      <c r="F123" s="7"/>
    </row>
    <row r="124" spans="1:6" ht="15.6" x14ac:dyDescent="0.3">
      <c r="A124" s="3"/>
      <c r="B124" s="3"/>
      <c r="C124" s="3">
        <f t="shared" si="2"/>
        <v>-126000</v>
      </c>
      <c r="D124" s="7"/>
      <c r="E124" s="8"/>
      <c r="F124" s="7"/>
    </row>
    <row r="125" spans="1:6" ht="15.6" x14ac:dyDescent="0.3">
      <c r="A125" s="3"/>
      <c r="B125" s="3"/>
      <c r="C125" s="3">
        <f t="shared" si="2"/>
        <v>-126000</v>
      </c>
      <c r="D125" s="7"/>
      <c r="E125" s="8"/>
      <c r="F125" s="7"/>
    </row>
    <row r="126" spans="1:6" ht="15.6" x14ac:dyDescent="0.3">
      <c r="A126" s="3"/>
      <c r="B126" s="3"/>
      <c r="C126" s="3">
        <f t="shared" si="2"/>
        <v>-126000</v>
      </c>
      <c r="D126" s="7"/>
      <c r="E126" s="8"/>
      <c r="F126" s="7"/>
    </row>
    <row r="127" spans="1:6" ht="15.6" x14ac:dyDescent="0.3">
      <c r="A127" s="3"/>
      <c r="B127" s="3"/>
      <c r="C127" s="3">
        <f t="shared" si="2"/>
        <v>-126000</v>
      </c>
      <c r="D127" s="7"/>
      <c r="E127" s="8"/>
      <c r="F127" s="7"/>
    </row>
    <row r="128" spans="1:6" ht="15.6" x14ac:dyDescent="0.3">
      <c r="A128" s="3"/>
      <c r="B128" s="3"/>
      <c r="C128" s="3">
        <f t="shared" si="2"/>
        <v>-126000</v>
      </c>
      <c r="D128" s="7"/>
      <c r="E128" s="8"/>
      <c r="F128" s="7"/>
    </row>
    <row r="129" spans="1:6" ht="15.6" x14ac:dyDescent="0.3">
      <c r="A129" s="3"/>
      <c r="B129" s="3"/>
      <c r="C129" s="3">
        <f t="shared" si="2"/>
        <v>-126000</v>
      </c>
      <c r="D129" s="7"/>
      <c r="E129" s="8"/>
      <c r="F129" s="7"/>
    </row>
    <row r="130" spans="1:6" ht="15.6" x14ac:dyDescent="0.3">
      <c r="A130" s="3"/>
      <c r="B130" s="3"/>
      <c r="C130" s="3">
        <f t="shared" si="2"/>
        <v>-126000</v>
      </c>
      <c r="D130" s="7"/>
      <c r="E130" s="8"/>
      <c r="F130" s="7"/>
    </row>
    <row r="131" spans="1:6" ht="15.6" x14ac:dyDescent="0.3">
      <c r="A131" s="3"/>
      <c r="B131" s="3"/>
      <c r="C131" s="3">
        <f t="shared" si="2"/>
        <v>-126000</v>
      </c>
      <c r="D131" s="7"/>
      <c r="E131" s="8"/>
      <c r="F131" s="7"/>
    </row>
    <row r="132" spans="1:6" ht="15.6" x14ac:dyDescent="0.3">
      <c r="A132" s="3"/>
      <c r="B132" s="3"/>
      <c r="C132" s="3">
        <f t="shared" si="2"/>
        <v>-126000</v>
      </c>
      <c r="D132" s="7"/>
      <c r="E132" s="8"/>
      <c r="F132" s="7"/>
    </row>
    <row r="133" spans="1:6" ht="15.6" x14ac:dyDescent="0.3">
      <c r="A133" s="3"/>
      <c r="B133" s="3"/>
      <c r="C133" s="3">
        <f t="shared" si="2"/>
        <v>-126000</v>
      </c>
      <c r="D133" s="7"/>
      <c r="E133" s="8"/>
      <c r="F133" s="7"/>
    </row>
    <row r="134" spans="1:6" ht="15.6" x14ac:dyDescent="0.3">
      <c r="A134" s="3"/>
      <c r="B134" s="3"/>
      <c r="C134" s="3">
        <f t="shared" si="2"/>
        <v>-126000</v>
      </c>
      <c r="D134" s="7"/>
      <c r="E134" s="8"/>
      <c r="F134" s="7"/>
    </row>
    <row r="135" spans="1:6" ht="15.6" x14ac:dyDescent="0.3">
      <c r="A135" s="3"/>
      <c r="B135" s="3"/>
      <c r="C135" s="3">
        <f t="shared" si="2"/>
        <v>-126000</v>
      </c>
      <c r="D135" s="7"/>
      <c r="E135" s="8"/>
      <c r="F135" s="7"/>
    </row>
    <row r="136" spans="1:6" ht="15.6" x14ac:dyDescent="0.3">
      <c r="A136" s="3"/>
      <c r="B136" s="3"/>
      <c r="C136" s="3">
        <f t="shared" ref="C136:C153" si="3">IF(A136&gt;0,C135+A136-B136,C135-B136)</f>
        <v>-126000</v>
      </c>
      <c r="D136" s="7"/>
      <c r="E136" s="8"/>
      <c r="F136" s="7"/>
    </row>
    <row r="137" spans="1:6" ht="15.6" x14ac:dyDescent="0.3">
      <c r="A137" s="3"/>
      <c r="B137" s="3"/>
      <c r="C137" s="3">
        <f t="shared" si="3"/>
        <v>-126000</v>
      </c>
      <c r="D137" s="7"/>
      <c r="E137" s="8"/>
      <c r="F137" s="7"/>
    </row>
    <row r="138" spans="1:6" ht="15.6" x14ac:dyDescent="0.3">
      <c r="A138" s="3"/>
      <c r="B138" s="3"/>
      <c r="C138" s="3">
        <f t="shared" si="3"/>
        <v>-126000</v>
      </c>
      <c r="D138" s="7"/>
      <c r="E138" s="8"/>
      <c r="F138" s="7"/>
    </row>
    <row r="139" spans="1:6" ht="15.6" x14ac:dyDescent="0.3">
      <c r="A139" s="3"/>
      <c r="B139" s="3"/>
      <c r="C139" s="3">
        <f t="shared" si="3"/>
        <v>-126000</v>
      </c>
      <c r="D139" s="7"/>
      <c r="E139" s="8"/>
      <c r="F139" s="7"/>
    </row>
    <row r="140" spans="1:6" ht="15.6" x14ac:dyDescent="0.3">
      <c r="A140" s="3"/>
      <c r="B140" s="3"/>
      <c r="C140" s="3">
        <f t="shared" si="3"/>
        <v>-126000</v>
      </c>
      <c r="D140" s="7"/>
      <c r="E140" s="8"/>
      <c r="F140" s="7"/>
    </row>
    <row r="141" spans="1:6" ht="15.6" x14ac:dyDescent="0.3">
      <c r="A141" s="3"/>
      <c r="B141" s="3"/>
      <c r="C141" s="3">
        <f t="shared" si="3"/>
        <v>-126000</v>
      </c>
      <c r="D141" s="7"/>
      <c r="E141" s="8"/>
      <c r="F141" s="7"/>
    </row>
    <row r="142" spans="1:6" ht="15.6" x14ac:dyDescent="0.3">
      <c r="A142" s="3"/>
      <c r="B142" s="3"/>
      <c r="C142" s="3">
        <f t="shared" si="3"/>
        <v>-126000</v>
      </c>
      <c r="D142" s="7"/>
      <c r="E142" s="8"/>
      <c r="F142" s="7"/>
    </row>
    <row r="143" spans="1:6" ht="15.6" x14ac:dyDescent="0.3">
      <c r="A143" s="3"/>
      <c r="B143" s="3"/>
      <c r="C143" s="3">
        <f t="shared" si="3"/>
        <v>-126000</v>
      </c>
      <c r="D143" s="7"/>
      <c r="E143" s="8"/>
      <c r="F143" s="7"/>
    </row>
    <row r="144" spans="1:6" ht="15.6" x14ac:dyDescent="0.3">
      <c r="A144" s="3"/>
      <c r="B144" s="3"/>
      <c r="C144" s="3">
        <f t="shared" si="3"/>
        <v>-126000</v>
      </c>
      <c r="D144" s="7"/>
      <c r="E144" s="8"/>
      <c r="F144" s="7"/>
    </row>
    <row r="145" spans="1:6" ht="15.6" x14ac:dyDescent="0.3">
      <c r="A145" s="3"/>
      <c r="B145" s="3"/>
      <c r="C145" s="3">
        <f t="shared" si="3"/>
        <v>-126000</v>
      </c>
      <c r="D145" s="7"/>
      <c r="E145" s="8"/>
      <c r="F145" s="7"/>
    </row>
    <row r="146" spans="1:6" ht="15.6" x14ac:dyDescent="0.3">
      <c r="A146" s="3"/>
      <c r="B146" s="3"/>
      <c r="C146" s="3">
        <f t="shared" si="3"/>
        <v>-126000</v>
      </c>
      <c r="D146" s="7"/>
      <c r="E146" s="8"/>
      <c r="F146" s="7"/>
    </row>
    <row r="147" spans="1:6" ht="15.6" x14ac:dyDescent="0.3">
      <c r="A147" s="3"/>
      <c r="B147" s="3"/>
      <c r="C147" s="3">
        <f t="shared" si="3"/>
        <v>-126000</v>
      </c>
      <c r="D147" s="7"/>
      <c r="E147" s="8"/>
      <c r="F147" s="7"/>
    </row>
    <row r="148" spans="1:6" ht="15.6" x14ac:dyDescent="0.3">
      <c r="A148" s="3"/>
      <c r="B148" s="3"/>
      <c r="C148" s="3">
        <f t="shared" si="3"/>
        <v>-126000</v>
      </c>
      <c r="D148" s="7"/>
      <c r="E148" s="8"/>
      <c r="F148" s="7"/>
    </row>
    <row r="149" spans="1:6" ht="15.6" x14ac:dyDescent="0.3">
      <c r="A149" s="3"/>
      <c r="B149" s="3"/>
      <c r="C149" s="3">
        <f t="shared" si="3"/>
        <v>-126000</v>
      </c>
      <c r="D149" s="7"/>
      <c r="E149" s="8"/>
      <c r="F149" s="7"/>
    </row>
    <row r="150" spans="1:6" ht="15.6" x14ac:dyDescent="0.3">
      <c r="A150" s="3"/>
      <c r="B150" s="3"/>
      <c r="C150" s="3">
        <f t="shared" si="3"/>
        <v>-126000</v>
      </c>
      <c r="D150" s="7"/>
      <c r="E150" s="8"/>
      <c r="F150" s="7"/>
    </row>
    <row r="151" spans="1:6" ht="15.6" x14ac:dyDescent="0.3">
      <c r="A151" s="3"/>
      <c r="B151" s="3"/>
      <c r="C151" s="3">
        <f t="shared" si="3"/>
        <v>-126000</v>
      </c>
      <c r="D151" s="7"/>
      <c r="E151" s="8"/>
      <c r="F151" s="7"/>
    </row>
    <row r="152" spans="1:6" ht="15.6" x14ac:dyDescent="0.3">
      <c r="A152" s="3"/>
      <c r="B152" s="3"/>
      <c r="C152" s="3">
        <f t="shared" si="3"/>
        <v>-126000</v>
      </c>
      <c r="D152" s="7"/>
      <c r="E152" s="8"/>
      <c r="F152" s="7"/>
    </row>
    <row r="153" spans="1:6" ht="15.6" x14ac:dyDescent="0.3">
      <c r="A153" s="3"/>
      <c r="B153" s="3"/>
      <c r="C153" s="3">
        <f t="shared" si="3"/>
        <v>-126000</v>
      </c>
      <c r="D153" s="7"/>
      <c r="E153" s="8"/>
      <c r="F153" s="7"/>
    </row>
  </sheetData>
  <mergeCells count="2">
    <mergeCell ref="A3:C3"/>
    <mergeCell ref="K6:M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61"/>
  <sheetViews>
    <sheetView rightToLeft="1" workbookViewId="0">
      <pane ySplit="5" topLeftCell="A26" activePane="bottomLeft" state="frozen"/>
      <selection pane="bottomLeft" activeCell="A36" sqref="A36"/>
    </sheetView>
  </sheetViews>
  <sheetFormatPr defaultColWidth="9" defaultRowHeight="14.4" x14ac:dyDescent="0.3"/>
  <cols>
    <col min="1" max="2" width="12" bestFit="1" customWidth="1"/>
    <col min="3" max="3" width="12.6640625" bestFit="1" customWidth="1"/>
    <col min="4" max="4" width="30.109375" customWidth="1"/>
    <col min="5" max="5" width="20.44140625" bestFit="1" customWidth="1"/>
    <col min="6" max="6" width="11.44140625" bestFit="1" customWidth="1"/>
    <col min="9" max="9" width="15.6640625" customWidth="1"/>
    <col min="10" max="10" width="12.109375" bestFit="1" customWidth="1"/>
    <col min="11" max="11" width="19.6640625" bestFit="1" customWidth="1"/>
    <col min="12" max="12" width="17.44140625" bestFit="1" customWidth="1"/>
    <col min="13" max="13" width="10.109375" bestFit="1" customWidth="1"/>
    <col min="14" max="14" width="22" bestFit="1" customWidth="1"/>
  </cols>
  <sheetData>
    <row r="1" spans="1:13" ht="15.6" x14ac:dyDescent="0.3">
      <c r="A1" s="1"/>
      <c r="B1" s="1"/>
      <c r="C1" s="1"/>
      <c r="D1" s="1"/>
      <c r="E1" s="2"/>
      <c r="F1" s="1"/>
    </row>
    <row r="2" spans="1:13" ht="15.6" x14ac:dyDescent="0.3">
      <c r="A2" s="3">
        <f>SUBTOTAL(9,A5:A161)</f>
        <v>30540000</v>
      </c>
      <c r="B2" s="3">
        <f>SUBTOTAL(9,B5:B161)</f>
        <v>46920000</v>
      </c>
      <c r="C2" s="3">
        <f>A2-B2</f>
        <v>-16380000</v>
      </c>
      <c r="D2" s="1"/>
      <c r="E2" s="2"/>
      <c r="F2" s="1"/>
      <c r="I2" s="1"/>
      <c r="J2" s="1"/>
      <c r="K2" s="277"/>
      <c r="L2" s="277"/>
      <c r="M2" s="45"/>
    </row>
    <row r="3" spans="1:13" ht="29.25" customHeight="1" x14ac:dyDescent="0.3">
      <c r="A3" s="273" t="s">
        <v>169</v>
      </c>
      <c r="B3" s="274"/>
      <c r="C3" s="275"/>
      <c r="D3" s="5"/>
      <c r="E3" s="6"/>
      <c r="F3" s="6"/>
      <c r="I3" s="206"/>
      <c r="J3" s="1"/>
      <c r="K3" s="206"/>
      <c r="L3" s="300"/>
      <c r="M3" s="300"/>
    </row>
    <row r="4" spans="1:13" ht="27.7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  <c r="I4" s="1"/>
      <c r="J4" s="1"/>
      <c r="K4" s="79"/>
      <c r="L4" s="79"/>
      <c r="M4" s="1"/>
    </row>
    <row r="5" spans="1:13" ht="18" hidden="1" customHeight="1" x14ac:dyDescent="0.3">
      <c r="A5" s="7"/>
      <c r="B5" s="7"/>
      <c r="C5" s="7">
        <v>0</v>
      </c>
      <c r="D5" s="7"/>
      <c r="E5" s="8"/>
      <c r="F5" s="7"/>
      <c r="I5" s="1"/>
      <c r="J5" s="1"/>
      <c r="K5" s="79"/>
      <c r="L5" s="79"/>
      <c r="M5" s="1"/>
    </row>
    <row r="6" spans="1:13" ht="15.6" x14ac:dyDescent="0.3">
      <c r="A6" s="83"/>
      <c r="B6" s="114">
        <v>7320000</v>
      </c>
      <c r="C6" s="115">
        <f>IF(A6&gt;0,C5+A6-B6,C5-B6)</f>
        <v>-7320000</v>
      </c>
      <c r="D6" s="116" t="s">
        <v>170</v>
      </c>
      <c r="E6" s="117">
        <v>45986.589710648201</v>
      </c>
      <c r="F6" s="302" t="s">
        <v>171</v>
      </c>
      <c r="I6" s="6"/>
      <c r="J6" s="5" t="s">
        <v>37</v>
      </c>
      <c r="K6" s="6" t="s">
        <v>181</v>
      </c>
      <c r="L6" s="272" t="s">
        <v>182</v>
      </c>
      <c r="M6" s="272"/>
    </row>
    <row r="7" spans="1:13" ht="15.6" x14ac:dyDescent="0.3">
      <c r="A7" s="36"/>
      <c r="B7" s="114">
        <v>3350000</v>
      </c>
      <c r="C7" s="115">
        <f t="shared" ref="C7:C79" si="0">IF(A7&gt;0,C6+A7-B7,C6-B7)</f>
        <v>-10670000</v>
      </c>
      <c r="D7" s="116" t="s">
        <v>172</v>
      </c>
      <c r="E7" s="117">
        <v>45986.777581018498</v>
      </c>
      <c r="F7" s="303"/>
      <c r="I7" s="7" t="s">
        <v>40</v>
      </c>
      <c r="J7" s="7" t="s">
        <v>6</v>
      </c>
      <c r="K7" s="41" t="s">
        <v>41</v>
      </c>
      <c r="L7" s="41" t="s">
        <v>42</v>
      </c>
      <c r="M7" s="7" t="s">
        <v>43</v>
      </c>
    </row>
    <row r="8" spans="1:13" ht="15.6" x14ac:dyDescent="0.3">
      <c r="A8" s="36"/>
      <c r="B8" s="114">
        <v>2130000</v>
      </c>
      <c r="C8" s="115">
        <f t="shared" si="0"/>
        <v>-12800000</v>
      </c>
      <c r="D8" s="116" t="s">
        <v>173</v>
      </c>
      <c r="E8" s="117">
        <v>45988.795578703699</v>
      </c>
      <c r="F8" s="303"/>
      <c r="I8" s="7"/>
      <c r="J8" s="7"/>
      <c r="K8" s="41">
        <v>19200000</v>
      </c>
      <c r="L8" s="41"/>
      <c r="M8" s="7">
        <f>K8-L8</f>
        <v>19200000</v>
      </c>
    </row>
    <row r="9" spans="1:13" ht="15.6" x14ac:dyDescent="0.3">
      <c r="A9" s="36"/>
      <c r="B9" s="114">
        <v>1712500</v>
      </c>
      <c r="C9" s="115">
        <f t="shared" si="0"/>
        <v>-14512500</v>
      </c>
      <c r="D9" s="116" t="s">
        <v>174</v>
      </c>
      <c r="E9" s="117">
        <v>45993.642372685201</v>
      </c>
      <c r="F9" s="303"/>
      <c r="I9" s="92"/>
      <c r="J9" s="8"/>
      <c r="K9" s="41"/>
      <c r="L9" s="41"/>
      <c r="M9" s="7">
        <f>M8-L9</f>
        <v>19200000</v>
      </c>
    </row>
    <row r="10" spans="1:13" ht="15.6" x14ac:dyDescent="0.3">
      <c r="A10" s="36"/>
      <c r="B10" s="114">
        <v>3500000</v>
      </c>
      <c r="C10" s="115">
        <f t="shared" si="0"/>
        <v>-18012500</v>
      </c>
      <c r="D10" s="116" t="s">
        <v>519</v>
      </c>
      <c r="E10" s="117">
        <v>45993.810844363397</v>
      </c>
      <c r="F10" s="303"/>
      <c r="I10" s="92">
        <v>1</v>
      </c>
      <c r="J10" s="46">
        <v>46143</v>
      </c>
      <c r="K10" s="47"/>
      <c r="L10" s="47">
        <v>1600000</v>
      </c>
      <c r="M10" s="48">
        <f>M9-L10</f>
        <v>17600000</v>
      </c>
    </row>
    <row r="11" spans="1:13" ht="15.6" x14ac:dyDescent="0.3">
      <c r="A11" s="36"/>
      <c r="B11" s="114">
        <v>1187500</v>
      </c>
      <c r="C11" s="115">
        <f t="shared" si="0"/>
        <v>-19200000</v>
      </c>
      <c r="D11" s="116" t="s">
        <v>175</v>
      </c>
      <c r="E11" s="117">
        <v>46008.405338229197</v>
      </c>
      <c r="F11" s="304"/>
      <c r="I11" s="92">
        <v>2</v>
      </c>
      <c r="J11" s="46">
        <v>46144</v>
      </c>
      <c r="K11" s="47"/>
      <c r="L11" s="47">
        <v>1600000</v>
      </c>
      <c r="M11" s="48">
        <f>M10-L11</f>
        <v>16000000</v>
      </c>
    </row>
    <row r="12" spans="1:13" ht="15.6" x14ac:dyDescent="0.3">
      <c r="A12" s="83"/>
      <c r="B12" s="64">
        <v>940000</v>
      </c>
      <c r="C12" s="4">
        <f t="shared" si="0"/>
        <v>-20140000</v>
      </c>
      <c r="D12" s="99" t="s">
        <v>176</v>
      </c>
      <c r="E12" s="118">
        <v>46011.433611111097</v>
      </c>
      <c r="F12" s="305" t="s">
        <v>177</v>
      </c>
      <c r="I12" s="92">
        <v>3</v>
      </c>
      <c r="J12" s="46">
        <v>46145</v>
      </c>
      <c r="K12" s="47"/>
      <c r="L12" s="47">
        <v>1600000</v>
      </c>
      <c r="M12" s="48">
        <f t="shared" ref="M12:M24" si="1">M11-L12</f>
        <v>14400000</v>
      </c>
    </row>
    <row r="13" spans="1:13" ht="15.6" x14ac:dyDescent="0.3">
      <c r="A13" s="83"/>
      <c r="B13" s="64">
        <v>3330000</v>
      </c>
      <c r="C13" s="4">
        <f t="shared" si="0"/>
        <v>-23470000</v>
      </c>
      <c r="D13" s="99" t="s">
        <v>178</v>
      </c>
      <c r="E13" s="118">
        <v>46011.435706018499</v>
      </c>
      <c r="F13" s="306"/>
      <c r="I13" s="92">
        <v>4</v>
      </c>
      <c r="J13" s="46">
        <v>46146</v>
      </c>
      <c r="K13" s="47"/>
      <c r="L13" s="47">
        <v>1600000</v>
      </c>
      <c r="M13" s="48">
        <f t="shared" si="1"/>
        <v>12800000</v>
      </c>
    </row>
    <row r="14" spans="1:13" ht="15.6" x14ac:dyDescent="0.3">
      <c r="A14" s="83"/>
      <c r="B14" s="64">
        <v>2950000</v>
      </c>
      <c r="C14" s="4">
        <f t="shared" si="0"/>
        <v>-26420000</v>
      </c>
      <c r="D14" s="99" t="s">
        <v>175</v>
      </c>
      <c r="E14" s="118">
        <v>46019.477371377303</v>
      </c>
      <c r="F14" s="306"/>
      <c r="I14" s="92">
        <v>5</v>
      </c>
      <c r="J14" s="46">
        <v>46147</v>
      </c>
      <c r="K14" s="47"/>
      <c r="L14" s="47">
        <v>1600000</v>
      </c>
      <c r="M14" s="48">
        <f t="shared" si="1"/>
        <v>11200000</v>
      </c>
    </row>
    <row r="15" spans="1:13" ht="15.6" x14ac:dyDescent="0.3">
      <c r="A15" s="83"/>
      <c r="B15" s="64">
        <v>5500000</v>
      </c>
      <c r="C15" s="4">
        <f t="shared" si="0"/>
        <v>-31920000</v>
      </c>
      <c r="D15" s="99" t="s">
        <v>179</v>
      </c>
      <c r="E15" s="118">
        <v>46020.3241186343</v>
      </c>
      <c r="F15" s="307"/>
      <c r="I15" s="92">
        <v>6</v>
      </c>
      <c r="J15" s="8">
        <v>46148</v>
      </c>
      <c r="K15" s="41"/>
      <c r="L15" s="41">
        <v>1600000</v>
      </c>
      <c r="M15" s="7">
        <f t="shared" si="1"/>
        <v>9600000</v>
      </c>
    </row>
    <row r="16" spans="1:13" ht="15.6" x14ac:dyDescent="0.3">
      <c r="A16" s="3">
        <v>1600000</v>
      </c>
      <c r="B16" s="119"/>
      <c r="C16" s="3">
        <f t="shared" si="0"/>
        <v>-30320000</v>
      </c>
      <c r="D16" s="75" t="s">
        <v>180</v>
      </c>
      <c r="E16" s="8">
        <v>46143</v>
      </c>
      <c r="F16" s="58"/>
      <c r="I16" s="92">
        <v>7</v>
      </c>
      <c r="J16" s="8">
        <v>46149</v>
      </c>
      <c r="K16" s="41"/>
      <c r="L16" s="41">
        <v>1600000</v>
      </c>
      <c r="M16" s="7">
        <f t="shared" si="1"/>
        <v>8000000</v>
      </c>
    </row>
    <row r="17" spans="1:13" ht="15.6" x14ac:dyDescent="0.3">
      <c r="A17" s="3">
        <v>1600000</v>
      </c>
      <c r="B17" s="119"/>
      <c r="C17" s="3">
        <f t="shared" si="0"/>
        <v>-28720000</v>
      </c>
      <c r="D17" s="75" t="s">
        <v>180</v>
      </c>
      <c r="E17" s="8">
        <v>46144</v>
      </c>
      <c r="F17" s="58"/>
      <c r="I17" s="92">
        <v>8</v>
      </c>
      <c r="J17" s="8">
        <v>46150</v>
      </c>
      <c r="K17" s="41"/>
      <c r="L17" s="41">
        <v>1600000</v>
      </c>
      <c r="M17" s="7">
        <f t="shared" si="1"/>
        <v>6400000</v>
      </c>
    </row>
    <row r="18" spans="1:13" ht="15.6" x14ac:dyDescent="0.3">
      <c r="A18" s="3">
        <v>1060000</v>
      </c>
      <c r="B18" s="3"/>
      <c r="C18" s="3">
        <f t="shared" si="0"/>
        <v>-27660000</v>
      </c>
      <c r="D18" s="75" t="s">
        <v>180</v>
      </c>
      <c r="E18" s="8">
        <v>46144</v>
      </c>
      <c r="F18" s="58"/>
      <c r="I18" s="92">
        <v>9</v>
      </c>
      <c r="J18" s="8">
        <v>46151</v>
      </c>
      <c r="K18" s="41"/>
      <c r="L18" s="41">
        <v>1600000</v>
      </c>
      <c r="M18" s="7">
        <f t="shared" si="1"/>
        <v>4800000</v>
      </c>
    </row>
    <row r="19" spans="1:13" ht="15.6" x14ac:dyDescent="0.3">
      <c r="A19" s="3">
        <v>1600000</v>
      </c>
      <c r="B19" s="119"/>
      <c r="C19" s="3">
        <f t="shared" si="0"/>
        <v>-26060000</v>
      </c>
      <c r="D19" s="75" t="s">
        <v>180</v>
      </c>
      <c r="E19" s="8">
        <v>46145</v>
      </c>
      <c r="F19" s="58"/>
      <c r="I19" s="92">
        <v>10</v>
      </c>
      <c r="J19" s="8">
        <v>46152</v>
      </c>
      <c r="K19" s="41"/>
      <c r="L19" s="41">
        <v>1600000</v>
      </c>
      <c r="M19" s="7">
        <f t="shared" si="1"/>
        <v>3200000</v>
      </c>
    </row>
    <row r="20" spans="1:13" ht="15.6" x14ac:dyDescent="0.3">
      <c r="A20" s="3">
        <v>1060000</v>
      </c>
      <c r="B20" s="3"/>
      <c r="C20" s="3">
        <f t="shared" si="0"/>
        <v>-25000000</v>
      </c>
      <c r="D20" s="75" t="s">
        <v>180</v>
      </c>
      <c r="E20" s="8">
        <v>46145</v>
      </c>
      <c r="F20" s="58"/>
      <c r="I20" s="92">
        <v>11</v>
      </c>
      <c r="J20" s="8">
        <v>46153</v>
      </c>
      <c r="K20" s="41"/>
      <c r="L20" s="41">
        <v>1600000</v>
      </c>
      <c r="M20" s="7">
        <f t="shared" si="1"/>
        <v>1600000</v>
      </c>
    </row>
    <row r="21" spans="1:13" ht="15.6" x14ac:dyDescent="0.3">
      <c r="A21" s="3">
        <v>1600000</v>
      </c>
      <c r="B21" s="3"/>
      <c r="C21" s="3">
        <f t="shared" si="0"/>
        <v>-23400000</v>
      </c>
      <c r="D21" s="75" t="s">
        <v>180</v>
      </c>
      <c r="E21" s="8" t="s">
        <v>264</v>
      </c>
      <c r="F21" s="58"/>
      <c r="I21" s="92">
        <v>12</v>
      </c>
      <c r="J21" s="8">
        <v>46154</v>
      </c>
      <c r="K21" s="41"/>
      <c r="L21" s="41">
        <v>1600000</v>
      </c>
      <c r="M21" s="7">
        <f t="shared" si="1"/>
        <v>0</v>
      </c>
    </row>
    <row r="22" spans="1:13" ht="15.6" x14ac:dyDescent="0.3">
      <c r="A22" s="3">
        <v>1060000</v>
      </c>
      <c r="B22" s="3"/>
      <c r="C22" s="3">
        <f t="shared" si="0"/>
        <v>-22340000</v>
      </c>
      <c r="D22" s="75" t="s">
        <v>180</v>
      </c>
      <c r="E22" s="8" t="s">
        <v>264</v>
      </c>
      <c r="F22" s="58"/>
      <c r="I22" s="92"/>
      <c r="J22" s="8"/>
      <c r="K22" s="41"/>
      <c r="L22" s="41"/>
      <c r="M22" s="7">
        <f t="shared" si="1"/>
        <v>0</v>
      </c>
    </row>
    <row r="23" spans="1:13" ht="15.6" x14ac:dyDescent="0.3">
      <c r="A23" s="3">
        <v>1600000</v>
      </c>
      <c r="B23" s="3"/>
      <c r="C23" s="3">
        <f t="shared" ref="C23" si="2">IF(A23&gt;0,C22+A23-B23,C22-B23)</f>
        <v>-20740000</v>
      </c>
      <c r="D23" s="75" t="s">
        <v>180</v>
      </c>
      <c r="E23" s="8">
        <v>46147</v>
      </c>
      <c r="F23" s="58"/>
      <c r="I23" s="92"/>
      <c r="J23" s="8"/>
      <c r="K23" s="41"/>
      <c r="L23" s="41"/>
      <c r="M23" s="7">
        <f t="shared" si="1"/>
        <v>0</v>
      </c>
    </row>
    <row r="24" spans="1:13" ht="15.6" x14ac:dyDescent="0.3">
      <c r="A24" s="3">
        <v>1060000</v>
      </c>
      <c r="B24" s="3"/>
      <c r="C24" s="3">
        <f t="shared" si="0"/>
        <v>-19680000</v>
      </c>
      <c r="D24" s="75" t="s">
        <v>180</v>
      </c>
      <c r="E24" s="8">
        <v>46300</v>
      </c>
      <c r="F24" s="58"/>
      <c r="I24" s="92"/>
      <c r="J24" s="8"/>
      <c r="K24" s="41"/>
      <c r="L24" s="41"/>
      <c r="M24" s="7">
        <f t="shared" si="1"/>
        <v>0</v>
      </c>
    </row>
    <row r="25" spans="1:13" ht="15.6" x14ac:dyDescent="0.3">
      <c r="A25" s="3"/>
      <c r="B25" s="3">
        <v>3200000</v>
      </c>
      <c r="C25" s="3">
        <f t="shared" si="0"/>
        <v>-22880000</v>
      </c>
      <c r="D25" s="75" t="s">
        <v>528</v>
      </c>
      <c r="E25" s="8" t="s">
        <v>529</v>
      </c>
      <c r="F25" s="58"/>
      <c r="I25" s="1"/>
      <c r="J25" s="2"/>
      <c r="K25" s="79"/>
      <c r="L25" s="79"/>
      <c r="M25" s="1"/>
    </row>
    <row r="26" spans="1:13" ht="15.6" x14ac:dyDescent="0.3">
      <c r="A26" s="3"/>
      <c r="B26" s="3">
        <v>4100000</v>
      </c>
      <c r="C26" s="3">
        <f t="shared" si="0"/>
        <v>-26980000</v>
      </c>
      <c r="D26" s="75" t="s">
        <v>528</v>
      </c>
      <c r="E26" s="8" t="s">
        <v>529</v>
      </c>
      <c r="F26" s="58"/>
      <c r="I26" s="1"/>
      <c r="J26" s="2"/>
      <c r="K26" s="79"/>
      <c r="L26" s="79"/>
      <c r="M26" s="1"/>
    </row>
    <row r="27" spans="1:13" ht="15.6" x14ac:dyDescent="0.3">
      <c r="A27" s="3"/>
      <c r="B27" s="3">
        <v>3825000</v>
      </c>
      <c r="C27" s="3">
        <f t="shared" si="0"/>
        <v>-30805000</v>
      </c>
      <c r="D27" s="75" t="s">
        <v>530</v>
      </c>
      <c r="E27" s="8" t="s">
        <v>529</v>
      </c>
      <c r="F27" s="58"/>
      <c r="I27" s="1"/>
      <c r="J27" s="2"/>
      <c r="K27" s="79"/>
      <c r="L27" s="79"/>
      <c r="M27" s="1"/>
    </row>
    <row r="28" spans="1:13" ht="15.6" x14ac:dyDescent="0.3">
      <c r="A28" s="3"/>
      <c r="B28" s="3">
        <v>3200000</v>
      </c>
      <c r="C28" s="3">
        <f t="shared" si="0"/>
        <v>-34005000</v>
      </c>
      <c r="D28" s="75" t="s">
        <v>531</v>
      </c>
      <c r="E28" s="8" t="s">
        <v>488</v>
      </c>
      <c r="F28" s="58"/>
      <c r="I28" s="1"/>
      <c r="J28" s="2"/>
      <c r="K28" s="79"/>
      <c r="L28" s="79"/>
      <c r="M28" s="1"/>
    </row>
    <row r="29" spans="1:13" ht="15.6" x14ac:dyDescent="0.3">
      <c r="A29" s="3"/>
      <c r="B29" s="3">
        <v>675000</v>
      </c>
      <c r="C29" s="3">
        <f t="shared" si="0"/>
        <v>-34680000</v>
      </c>
      <c r="D29" s="75" t="s">
        <v>531</v>
      </c>
      <c r="E29" s="8" t="s">
        <v>488</v>
      </c>
      <c r="F29" s="58"/>
      <c r="I29" s="1">
        <f>1600000+1060000+1250000</f>
        <v>3910000</v>
      </c>
      <c r="J29" s="2"/>
      <c r="K29" s="79"/>
      <c r="L29" s="79"/>
      <c r="M29" s="1"/>
    </row>
    <row r="30" spans="1:13" ht="15.6" x14ac:dyDescent="0.3">
      <c r="A30" s="3">
        <v>1600000</v>
      </c>
      <c r="B30" s="3"/>
      <c r="C30" s="3">
        <f t="shared" si="0"/>
        <v>-33080000</v>
      </c>
      <c r="D30" s="75" t="s">
        <v>180</v>
      </c>
      <c r="E30" s="8" t="s">
        <v>239</v>
      </c>
      <c r="F30" s="58"/>
      <c r="I30" s="1"/>
      <c r="J30" s="2"/>
      <c r="K30" s="79"/>
      <c r="L30" s="79"/>
      <c r="M30" s="1"/>
    </row>
    <row r="31" spans="1:13" ht="15.6" x14ac:dyDescent="0.3">
      <c r="A31" s="3">
        <v>1060000</v>
      </c>
      <c r="B31" s="3"/>
      <c r="C31" s="3">
        <f t="shared" si="0"/>
        <v>-32020000</v>
      </c>
      <c r="D31" s="75" t="s">
        <v>180</v>
      </c>
      <c r="E31" s="8" t="s">
        <v>239</v>
      </c>
      <c r="F31" s="58"/>
    </row>
    <row r="32" spans="1:13" ht="15.6" x14ac:dyDescent="0.3">
      <c r="A32" s="3">
        <v>3910000</v>
      </c>
      <c r="B32" s="3"/>
      <c r="C32" s="3">
        <f t="shared" si="0"/>
        <v>-28110000</v>
      </c>
      <c r="D32" s="8"/>
      <c r="E32" s="8">
        <v>46232</v>
      </c>
      <c r="F32" s="58"/>
    </row>
    <row r="33" spans="1:13" ht="15.6" x14ac:dyDescent="0.3">
      <c r="A33" s="3">
        <v>3910000</v>
      </c>
      <c r="B33" s="3"/>
      <c r="C33" s="3">
        <f t="shared" si="0"/>
        <v>-24200000</v>
      </c>
      <c r="D33" s="8"/>
      <c r="E33" s="8">
        <v>46250</v>
      </c>
      <c r="F33" s="58"/>
      <c r="I33" s="6"/>
      <c r="J33" s="5" t="s">
        <v>37</v>
      </c>
      <c r="K33" s="6" t="s">
        <v>183</v>
      </c>
      <c r="L33" s="273" t="s">
        <v>182</v>
      </c>
      <c r="M33" s="274"/>
    </row>
    <row r="34" spans="1:13" ht="15.6" x14ac:dyDescent="0.3">
      <c r="A34" s="3">
        <v>3910000</v>
      </c>
      <c r="B34" s="3"/>
      <c r="C34" s="3">
        <f t="shared" si="0"/>
        <v>-20290000</v>
      </c>
      <c r="D34" s="8" t="s">
        <v>550</v>
      </c>
      <c r="E34" s="8">
        <v>46278</v>
      </c>
      <c r="F34" s="58"/>
      <c r="I34" s="92" t="s">
        <v>40</v>
      </c>
      <c r="J34" s="7" t="s">
        <v>6</v>
      </c>
      <c r="K34" s="41" t="s">
        <v>41</v>
      </c>
      <c r="L34" s="41" t="s">
        <v>42</v>
      </c>
      <c r="M34" s="7" t="s">
        <v>43</v>
      </c>
    </row>
    <row r="35" spans="1:13" ht="15.6" x14ac:dyDescent="0.3">
      <c r="A35" s="3">
        <v>3910000</v>
      </c>
      <c r="B35" s="3"/>
      <c r="C35" s="3">
        <f t="shared" si="0"/>
        <v>-16380000</v>
      </c>
      <c r="D35" s="8"/>
      <c r="E35" s="8">
        <v>46308</v>
      </c>
      <c r="F35" s="58"/>
      <c r="I35" s="92"/>
      <c r="J35" s="7"/>
      <c r="K35" s="41">
        <v>12720000</v>
      </c>
      <c r="L35" s="41"/>
      <c r="M35" s="7">
        <f>K35-L35</f>
        <v>12720000</v>
      </c>
    </row>
    <row r="36" spans="1:13" ht="15.6" x14ac:dyDescent="0.3">
      <c r="A36" s="3"/>
      <c r="B36" s="3"/>
      <c r="C36" s="3">
        <f t="shared" si="0"/>
        <v>-16380000</v>
      </c>
      <c r="D36" s="8"/>
      <c r="E36" s="8"/>
      <c r="F36" s="58"/>
      <c r="I36" s="92"/>
      <c r="J36" s="8"/>
      <c r="K36" s="41"/>
      <c r="L36" s="41"/>
      <c r="M36" s="7">
        <f>M35-L36</f>
        <v>12720000</v>
      </c>
    </row>
    <row r="37" spans="1:13" ht="15.6" x14ac:dyDescent="0.3">
      <c r="A37" s="3"/>
      <c r="B37" s="3"/>
      <c r="C37" s="3">
        <f t="shared" si="0"/>
        <v>-16380000</v>
      </c>
      <c r="D37" s="8"/>
      <c r="E37" s="8"/>
      <c r="F37" s="58"/>
      <c r="I37" s="92">
        <v>1</v>
      </c>
      <c r="J37" s="46">
        <v>46144</v>
      </c>
      <c r="K37" s="47"/>
      <c r="L37" s="47">
        <v>1060000</v>
      </c>
      <c r="M37" s="48">
        <f>M36-L37</f>
        <v>11660000</v>
      </c>
    </row>
    <row r="38" spans="1:13" ht="15.6" x14ac:dyDescent="0.3">
      <c r="A38" s="3"/>
      <c r="B38" s="3"/>
      <c r="C38" s="3">
        <f t="shared" si="0"/>
        <v>-16380000</v>
      </c>
      <c r="D38" s="7"/>
      <c r="E38" s="8"/>
      <c r="F38" s="58"/>
      <c r="I38" s="92">
        <v>2</v>
      </c>
      <c r="J38" s="46">
        <v>46145</v>
      </c>
      <c r="K38" s="47"/>
      <c r="L38" s="47">
        <v>1060000</v>
      </c>
      <c r="M38" s="48">
        <f>M37-L38</f>
        <v>10600000</v>
      </c>
    </row>
    <row r="39" spans="1:13" ht="15.6" x14ac:dyDescent="0.3">
      <c r="A39" s="3"/>
      <c r="B39" s="3"/>
      <c r="C39" s="3">
        <f t="shared" si="0"/>
        <v>-16380000</v>
      </c>
      <c r="D39" s="7"/>
      <c r="E39" s="8"/>
      <c r="F39" s="58"/>
      <c r="I39" s="92">
        <v>3</v>
      </c>
      <c r="J39" s="8">
        <v>46146</v>
      </c>
      <c r="K39" s="41"/>
      <c r="L39" s="41">
        <v>1060000</v>
      </c>
      <c r="M39" s="7">
        <f t="shared" ref="M39:M56" si="3">M38-L39</f>
        <v>9540000</v>
      </c>
    </row>
    <row r="40" spans="1:13" ht="15.6" x14ac:dyDescent="0.3">
      <c r="A40" s="3"/>
      <c r="B40" s="3"/>
      <c r="C40" s="3">
        <f>IF(A40&gt;0,C39+A40-B40,C39-B40)</f>
        <v>-16380000</v>
      </c>
      <c r="D40" s="7"/>
      <c r="E40" s="8"/>
      <c r="F40" s="58"/>
      <c r="I40" s="92">
        <v>4</v>
      </c>
      <c r="J40" s="8">
        <v>46147</v>
      </c>
      <c r="K40" s="41"/>
      <c r="L40" s="41">
        <v>1060000</v>
      </c>
      <c r="M40" s="7">
        <f t="shared" si="3"/>
        <v>8480000</v>
      </c>
    </row>
    <row r="41" spans="1:13" ht="15.6" x14ac:dyDescent="0.3">
      <c r="A41" s="3"/>
      <c r="B41" s="3"/>
      <c r="C41" s="3">
        <f t="shared" si="0"/>
        <v>-16380000</v>
      </c>
      <c r="D41" s="7"/>
      <c r="E41" s="8"/>
      <c r="F41" s="58"/>
      <c r="I41" s="92">
        <v>5</v>
      </c>
      <c r="J41" s="8">
        <v>46148</v>
      </c>
      <c r="K41" s="41"/>
      <c r="L41" s="41">
        <v>1060000</v>
      </c>
      <c r="M41" s="7">
        <f t="shared" si="3"/>
        <v>7420000</v>
      </c>
    </row>
    <row r="42" spans="1:13" ht="15.6" x14ac:dyDescent="0.3">
      <c r="A42" s="3"/>
      <c r="B42" s="3"/>
      <c r="C42" s="3">
        <f t="shared" si="0"/>
        <v>-16380000</v>
      </c>
      <c r="D42" s="7"/>
      <c r="E42" s="8"/>
      <c r="F42" s="58"/>
      <c r="I42" s="92">
        <v>6</v>
      </c>
      <c r="J42" s="8">
        <v>46149</v>
      </c>
      <c r="K42" s="41"/>
      <c r="L42" s="41">
        <v>1060000</v>
      </c>
      <c r="M42" s="7">
        <f t="shared" si="3"/>
        <v>6360000</v>
      </c>
    </row>
    <row r="43" spans="1:13" ht="15.6" x14ac:dyDescent="0.3">
      <c r="A43" s="3"/>
      <c r="B43" s="3"/>
      <c r="C43" s="3">
        <f t="shared" si="0"/>
        <v>-16380000</v>
      </c>
      <c r="D43" s="7"/>
      <c r="E43" s="8"/>
      <c r="F43" s="58"/>
      <c r="I43" s="92">
        <v>7</v>
      </c>
      <c r="J43" s="8">
        <v>46150</v>
      </c>
      <c r="K43" s="41"/>
      <c r="L43" s="41">
        <v>1060000</v>
      </c>
      <c r="M43" s="7">
        <f t="shared" si="3"/>
        <v>5300000</v>
      </c>
    </row>
    <row r="44" spans="1:13" ht="15.6" x14ac:dyDescent="0.3">
      <c r="A44" s="3"/>
      <c r="B44" s="3"/>
      <c r="C44" s="3">
        <f t="shared" si="0"/>
        <v>-16380000</v>
      </c>
      <c r="D44" s="7"/>
      <c r="E44" s="8"/>
      <c r="F44" s="58"/>
      <c r="I44" s="92">
        <v>8</v>
      </c>
      <c r="J44" s="8">
        <v>46151</v>
      </c>
      <c r="K44" s="41"/>
      <c r="L44" s="41">
        <v>1060000</v>
      </c>
      <c r="M44" s="7">
        <f t="shared" si="3"/>
        <v>4240000</v>
      </c>
    </row>
    <row r="45" spans="1:13" ht="15.6" x14ac:dyDescent="0.3">
      <c r="A45" s="3"/>
      <c r="B45" s="3"/>
      <c r="C45" s="3">
        <f>IF(A45&gt;0,C44+A45-B45,C44-B45)</f>
        <v>-16380000</v>
      </c>
      <c r="D45" s="7"/>
      <c r="E45" s="8"/>
      <c r="F45" s="58"/>
      <c r="I45" s="92">
        <v>9</v>
      </c>
      <c r="J45" s="8">
        <v>46152</v>
      </c>
      <c r="K45" s="41"/>
      <c r="L45" s="41">
        <v>1060000</v>
      </c>
      <c r="M45" s="7">
        <f t="shared" si="3"/>
        <v>3180000</v>
      </c>
    </row>
    <row r="46" spans="1:13" ht="15.6" x14ac:dyDescent="0.3">
      <c r="A46" s="3"/>
      <c r="B46" s="3"/>
      <c r="C46" s="3">
        <f t="shared" si="0"/>
        <v>-16380000</v>
      </c>
      <c r="D46" s="7"/>
      <c r="E46" s="8"/>
      <c r="F46" s="58"/>
      <c r="I46" s="92">
        <v>10</v>
      </c>
      <c r="J46" s="8">
        <v>46153</v>
      </c>
      <c r="K46" s="41"/>
      <c r="L46" s="41">
        <v>1060000</v>
      </c>
      <c r="M46" s="7">
        <f t="shared" si="3"/>
        <v>2120000</v>
      </c>
    </row>
    <row r="47" spans="1:13" ht="15.6" x14ac:dyDescent="0.3">
      <c r="A47" s="3"/>
      <c r="B47" s="3"/>
      <c r="C47" s="3">
        <f t="shared" si="0"/>
        <v>-16380000</v>
      </c>
      <c r="D47" s="7"/>
      <c r="E47" s="8"/>
      <c r="F47" s="58"/>
      <c r="I47" s="92">
        <v>11</v>
      </c>
      <c r="J47" s="8">
        <v>46154</v>
      </c>
      <c r="K47" s="41"/>
      <c r="L47" s="41">
        <v>1060000</v>
      </c>
      <c r="M47" s="7">
        <f t="shared" si="3"/>
        <v>1060000</v>
      </c>
    </row>
    <row r="48" spans="1:13" ht="15.6" x14ac:dyDescent="0.3">
      <c r="A48" s="3"/>
      <c r="B48" s="3"/>
      <c r="C48" s="3">
        <f t="shared" si="0"/>
        <v>-16380000</v>
      </c>
      <c r="D48" s="7"/>
      <c r="E48" s="8"/>
      <c r="F48" s="58"/>
      <c r="I48" s="92">
        <v>12</v>
      </c>
      <c r="J48" s="8">
        <v>46508</v>
      </c>
      <c r="K48" s="41"/>
      <c r="L48" s="41">
        <v>1060000</v>
      </c>
      <c r="M48" s="7">
        <f t="shared" si="3"/>
        <v>0</v>
      </c>
    </row>
    <row r="49" spans="1:14" ht="15.6" x14ac:dyDescent="0.3">
      <c r="A49" s="3"/>
      <c r="B49" s="3"/>
      <c r="C49" s="3">
        <f t="shared" si="0"/>
        <v>-16380000</v>
      </c>
      <c r="D49" s="7"/>
      <c r="E49" s="8"/>
      <c r="F49" s="58"/>
      <c r="I49" s="92"/>
      <c r="J49" s="8"/>
      <c r="K49" s="41"/>
      <c r="L49" s="41"/>
      <c r="M49" s="7">
        <f t="shared" si="3"/>
        <v>0</v>
      </c>
    </row>
    <row r="50" spans="1:14" ht="15.6" x14ac:dyDescent="0.3">
      <c r="A50" s="3"/>
      <c r="B50" s="3"/>
      <c r="C50" s="3">
        <f t="shared" si="0"/>
        <v>-16380000</v>
      </c>
      <c r="D50" s="7"/>
      <c r="E50" s="8"/>
      <c r="F50" s="58"/>
      <c r="I50" s="92"/>
      <c r="J50" s="8"/>
      <c r="K50" s="41"/>
      <c r="L50" s="41"/>
      <c r="M50" s="7">
        <f t="shared" si="3"/>
        <v>0</v>
      </c>
    </row>
    <row r="51" spans="1:14" ht="15.6" x14ac:dyDescent="0.3">
      <c r="A51" s="3"/>
      <c r="B51" s="3"/>
      <c r="C51" s="3">
        <f t="shared" si="0"/>
        <v>-16380000</v>
      </c>
      <c r="D51" s="7"/>
      <c r="E51" s="8"/>
      <c r="F51" s="58"/>
      <c r="I51" s="92"/>
      <c r="J51" s="8"/>
      <c r="K51" s="41"/>
      <c r="L51" s="41"/>
      <c r="M51" s="7">
        <f t="shared" si="3"/>
        <v>0</v>
      </c>
    </row>
    <row r="52" spans="1:14" ht="15.6" x14ac:dyDescent="0.3">
      <c r="A52" s="3"/>
      <c r="B52" s="3"/>
      <c r="C52" s="3">
        <f t="shared" si="0"/>
        <v>-16380000</v>
      </c>
      <c r="D52" s="7"/>
      <c r="E52" s="8"/>
      <c r="F52" s="58"/>
      <c r="I52" s="92"/>
      <c r="J52" s="8"/>
      <c r="K52" s="41"/>
      <c r="L52" s="41"/>
      <c r="M52" s="7">
        <f t="shared" si="3"/>
        <v>0</v>
      </c>
    </row>
    <row r="53" spans="1:14" ht="15.6" x14ac:dyDescent="0.3">
      <c r="A53" s="3"/>
      <c r="B53" s="3"/>
      <c r="C53" s="3">
        <f t="shared" si="0"/>
        <v>-16380000</v>
      </c>
      <c r="D53" s="7"/>
      <c r="E53" s="8"/>
      <c r="F53" s="58"/>
      <c r="I53" s="92"/>
      <c r="J53" s="8"/>
      <c r="K53" s="41"/>
      <c r="L53" s="41"/>
      <c r="M53" s="7">
        <f t="shared" si="3"/>
        <v>0</v>
      </c>
    </row>
    <row r="54" spans="1:14" ht="15.6" x14ac:dyDescent="0.3">
      <c r="A54" s="3"/>
      <c r="B54" s="3"/>
      <c r="C54" s="3">
        <f t="shared" si="0"/>
        <v>-16380000</v>
      </c>
      <c r="D54" s="7"/>
      <c r="E54" s="8"/>
      <c r="F54" s="58"/>
      <c r="I54" s="92"/>
      <c r="J54" s="8"/>
      <c r="K54" s="41"/>
      <c r="L54" s="41"/>
      <c r="M54" s="7">
        <f t="shared" si="3"/>
        <v>0</v>
      </c>
    </row>
    <row r="55" spans="1:14" ht="15.6" x14ac:dyDescent="0.3">
      <c r="A55" s="3"/>
      <c r="B55" s="3"/>
      <c r="C55" s="3">
        <f t="shared" si="0"/>
        <v>-16380000</v>
      </c>
      <c r="D55" s="7"/>
      <c r="E55" s="8"/>
      <c r="F55" s="58"/>
      <c r="I55" s="92"/>
      <c r="J55" s="8"/>
      <c r="K55" s="41"/>
      <c r="L55" s="41"/>
      <c r="M55" s="7">
        <f t="shared" si="3"/>
        <v>0</v>
      </c>
    </row>
    <row r="56" spans="1:14" ht="15.6" x14ac:dyDescent="0.3">
      <c r="A56" s="3"/>
      <c r="B56" s="3"/>
      <c r="C56" s="3">
        <f t="shared" si="0"/>
        <v>-16380000</v>
      </c>
      <c r="D56" s="7"/>
      <c r="E56" s="8"/>
      <c r="F56" s="58"/>
      <c r="I56" s="92"/>
      <c r="J56" s="8"/>
      <c r="K56" s="41"/>
      <c r="L56" s="41"/>
      <c r="M56" s="7">
        <f t="shared" si="3"/>
        <v>0</v>
      </c>
    </row>
    <row r="57" spans="1:14" ht="15.6" x14ac:dyDescent="0.3">
      <c r="A57" s="3"/>
      <c r="B57" s="3"/>
      <c r="C57" s="3">
        <f t="shared" si="0"/>
        <v>-16380000</v>
      </c>
      <c r="D57" s="7"/>
      <c r="E57" s="8"/>
      <c r="F57" s="58"/>
    </row>
    <row r="58" spans="1:14" ht="15.6" x14ac:dyDescent="0.3">
      <c r="A58" s="3"/>
      <c r="B58" s="3"/>
      <c r="C58" s="3">
        <f t="shared" si="0"/>
        <v>-16380000</v>
      </c>
      <c r="D58" s="7"/>
      <c r="E58" s="8"/>
      <c r="F58" s="58"/>
    </row>
    <row r="59" spans="1:14" ht="15.6" x14ac:dyDescent="0.3">
      <c r="A59" s="3"/>
      <c r="B59" s="3"/>
      <c r="C59" s="3">
        <f t="shared" si="0"/>
        <v>-16380000</v>
      </c>
      <c r="D59" s="7"/>
      <c r="E59" s="8"/>
      <c r="F59" s="58"/>
      <c r="I59" s="6"/>
      <c r="J59" s="5" t="s">
        <v>37</v>
      </c>
      <c r="K59" s="6" t="s">
        <v>183</v>
      </c>
      <c r="L59" s="273" t="s">
        <v>182</v>
      </c>
      <c r="M59" s="274"/>
      <c r="N59" s="6" t="s">
        <v>7</v>
      </c>
    </row>
    <row r="60" spans="1:14" ht="15.6" x14ac:dyDescent="0.3">
      <c r="A60" s="3"/>
      <c r="B60" s="3"/>
      <c r="C60" s="3">
        <f t="shared" si="0"/>
        <v>-16380000</v>
      </c>
      <c r="D60" s="7"/>
      <c r="E60" s="8"/>
      <c r="F60" s="58"/>
      <c r="I60" s="92" t="s">
        <v>40</v>
      </c>
      <c r="J60" s="7" t="s">
        <v>6</v>
      </c>
      <c r="K60" s="41" t="s">
        <v>41</v>
      </c>
      <c r="L60" s="41" t="s">
        <v>42</v>
      </c>
      <c r="M60" s="7" t="s">
        <v>442</v>
      </c>
      <c r="N60" s="7" t="s">
        <v>534</v>
      </c>
    </row>
    <row r="61" spans="1:14" ht="15.6" x14ac:dyDescent="0.3">
      <c r="A61" s="3"/>
      <c r="B61" s="3"/>
      <c r="C61" s="3">
        <f t="shared" si="0"/>
        <v>-16380000</v>
      </c>
      <c r="D61" s="7"/>
      <c r="E61" s="8"/>
      <c r="F61" s="58"/>
      <c r="I61" s="92"/>
      <c r="J61" s="7"/>
      <c r="K61" s="41">
        <f>12*1250000</f>
        <v>15000000</v>
      </c>
      <c r="L61" s="41"/>
      <c r="M61" s="7">
        <f>K61-L61</f>
        <v>15000000</v>
      </c>
      <c r="N61" s="208"/>
    </row>
    <row r="62" spans="1:14" ht="15.6" x14ac:dyDescent="0.3">
      <c r="A62" s="3"/>
      <c r="B62" s="3"/>
      <c r="C62" s="3">
        <f t="shared" si="0"/>
        <v>-16380000</v>
      </c>
      <c r="D62" s="7"/>
      <c r="E62" s="8"/>
      <c r="F62" s="58"/>
      <c r="I62" s="92"/>
      <c r="J62" s="8"/>
      <c r="K62" s="41"/>
      <c r="L62" s="41"/>
      <c r="M62" s="7">
        <f>M61-L62</f>
        <v>15000000</v>
      </c>
      <c r="N62" s="208"/>
    </row>
    <row r="63" spans="1:14" ht="15.6" x14ac:dyDescent="0.3">
      <c r="A63" s="3"/>
      <c r="B63" s="3"/>
      <c r="C63" s="3">
        <f t="shared" si="0"/>
        <v>-16380000</v>
      </c>
      <c r="D63" s="7"/>
      <c r="E63" s="8"/>
      <c r="F63" s="58"/>
      <c r="I63" s="92">
        <v>1</v>
      </c>
      <c r="J63" s="8" t="s">
        <v>240</v>
      </c>
      <c r="K63" s="41"/>
      <c r="L63" s="41">
        <v>1250000</v>
      </c>
      <c r="M63" s="7">
        <f>M62-L63</f>
        <v>13750000</v>
      </c>
      <c r="N63" s="208"/>
    </row>
    <row r="64" spans="1:14" ht="15.6" x14ac:dyDescent="0.3">
      <c r="A64" s="3"/>
      <c r="B64" s="3"/>
      <c r="C64" s="3">
        <f t="shared" si="0"/>
        <v>-16380000</v>
      </c>
      <c r="D64" s="7"/>
      <c r="E64" s="8"/>
      <c r="F64" s="58"/>
      <c r="I64" s="92">
        <v>2</v>
      </c>
      <c r="J64" s="8" t="s">
        <v>241</v>
      </c>
      <c r="K64" s="41"/>
      <c r="L64" s="41">
        <v>1250000</v>
      </c>
      <c r="M64" s="7">
        <f>M63-L64</f>
        <v>12500000</v>
      </c>
      <c r="N64" s="208"/>
    </row>
    <row r="65" spans="1:14" ht="15.6" x14ac:dyDescent="0.3">
      <c r="A65" s="3"/>
      <c r="B65" s="3"/>
      <c r="C65" s="3">
        <f t="shared" si="0"/>
        <v>-16380000</v>
      </c>
      <c r="D65" s="7"/>
      <c r="E65" s="8"/>
      <c r="F65" s="58"/>
      <c r="I65" s="92">
        <v>3</v>
      </c>
      <c r="J65" s="8" t="s">
        <v>242</v>
      </c>
      <c r="K65" s="41"/>
      <c r="L65" s="41">
        <v>1250000</v>
      </c>
      <c r="M65" s="7">
        <f t="shared" ref="M65:M82" si="4">M64-L65</f>
        <v>11250000</v>
      </c>
      <c r="N65" s="208"/>
    </row>
    <row r="66" spans="1:14" ht="15.6" x14ac:dyDescent="0.3">
      <c r="A66" s="3"/>
      <c r="B66" s="3"/>
      <c r="C66" s="3">
        <f t="shared" si="0"/>
        <v>-16380000</v>
      </c>
      <c r="D66" s="7"/>
      <c r="E66" s="8"/>
      <c r="F66" s="58"/>
      <c r="I66" s="92">
        <v>4</v>
      </c>
      <c r="J66" s="8" t="s">
        <v>243</v>
      </c>
      <c r="K66" s="41"/>
      <c r="L66" s="41">
        <v>1250000</v>
      </c>
      <c r="M66" s="7">
        <f t="shared" si="4"/>
        <v>10000000</v>
      </c>
      <c r="N66" s="208"/>
    </row>
    <row r="67" spans="1:14" ht="15.6" x14ac:dyDescent="0.3">
      <c r="A67" s="3"/>
      <c r="B67" s="3"/>
      <c r="C67" s="3">
        <f t="shared" si="0"/>
        <v>-16380000</v>
      </c>
      <c r="D67" s="7"/>
      <c r="E67" s="8"/>
      <c r="F67" s="58"/>
      <c r="I67" s="92">
        <v>5</v>
      </c>
      <c r="J67" s="8" t="s">
        <v>244</v>
      </c>
      <c r="K67" s="41"/>
      <c r="L67" s="41">
        <v>1250000</v>
      </c>
      <c r="M67" s="7">
        <f t="shared" si="4"/>
        <v>8750000</v>
      </c>
      <c r="N67" s="208"/>
    </row>
    <row r="68" spans="1:14" ht="15.6" x14ac:dyDescent="0.3">
      <c r="A68" s="3"/>
      <c r="B68" s="3"/>
      <c r="C68" s="3">
        <f t="shared" si="0"/>
        <v>-16380000</v>
      </c>
      <c r="D68" s="7"/>
      <c r="E68" s="8"/>
      <c r="F68" s="58"/>
      <c r="I68" s="92">
        <v>6</v>
      </c>
      <c r="J68" s="8" t="s">
        <v>245</v>
      </c>
      <c r="K68" s="41"/>
      <c r="L68" s="41">
        <v>1250000</v>
      </c>
      <c r="M68" s="7">
        <f t="shared" si="4"/>
        <v>7500000</v>
      </c>
      <c r="N68" s="208"/>
    </row>
    <row r="69" spans="1:14" ht="15.6" x14ac:dyDescent="0.3">
      <c r="A69" s="3"/>
      <c r="B69" s="3"/>
      <c r="C69" s="3">
        <f t="shared" si="0"/>
        <v>-16380000</v>
      </c>
      <c r="D69" s="7"/>
      <c r="E69" s="8"/>
      <c r="F69" s="58"/>
      <c r="I69" s="92">
        <v>7</v>
      </c>
      <c r="J69" s="8" t="s">
        <v>532</v>
      </c>
      <c r="K69" s="41"/>
      <c r="L69" s="41">
        <v>1250000</v>
      </c>
      <c r="M69" s="7">
        <f t="shared" si="4"/>
        <v>6250000</v>
      </c>
      <c r="N69" s="208"/>
    </row>
    <row r="70" spans="1:14" ht="15.6" x14ac:dyDescent="0.3">
      <c r="A70" s="3"/>
      <c r="B70" s="3"/>
      <c r="C70" s="3">
        <f t="shared" si="0"/>
        <v>-16380000</v>
      </c>
      <c r="D70" s="7"/>
      <c r="E70" s="8"/>
      <c r="F70" s="58"/>
      <c r="I70" s="92">
        <v>8</v>
      </c>
      <c r="J70" s="8" t="s">
        <v>533</v>
      </c>
      <c r="K70" s="41"/>
      <c r="L70" s="41">
        <v>1250000</v>
      </c>
      <c r="M70" s="7">
        <f t="shared" si="4"/>
        <v>5000000</v>
      </c>
      <c r="N70" s="208"/>
    </row>
    <row r="71" spans="1:14" ht="15.6" x14ac:dyDescent="0.3">
      <c r="A71" s="3"/>
      <c r="B71" s="3"/>
      <c r="C71" s="3">
        <f t="shared" si="0"/>
        <v>-16380000</v>
      </c>
      <c r="D71" s="7"/>
      <c r="E71" s="8"/>
      <c r="F71" s="58"/>
      <c r="I71" s="92">
        <v>9</v>
      </c>
      <c r="J71" s="8" t="s">
        <v>236</v>
      </c>
      <c r="K71" s="41"/>
      <c r="L71" s="41">
        <v>1250000</v>
      </c>
      <c r="M71" s="7">
        <f t="shared" si="4"/>
        <v>3750000</v>
      </c>
      <c r="N71" s="208"/>
    </row>
    <row r="72" spans="1:14" ht="15.6" x14ac:dyDescent="0.3">
      <c r="A72" s="3"/>
      <c r="B72" s="3"/>
      <c r="C72" s="3">
        <f t="shared" si="0"/>
        <v>-16380000</v>
      </c>
      <c r="D72" s="7"/>
      <c r="E72" s="8"/>
      <c r="F72" s="58"/>
      <c r="I72" s="92">
        <v>10</v>
      </c>
      <c r="J72" s="8" t="s">
        <v>237</v>
      </c>
      <c r="K72" s="41"/>
      <c r="L72" s="41">
        <v>1250000</v>
      </c>
      <c r="M72" s="7">
        <f t="shared" si="4"/>
        <v>2500000</v>
      </c>
      <c r="N72" s="208"/>
    </row>
    <row r="73" spans="1:14" ht="15.6" x14ac:dyDescent="0.3">
      <c r="A73" s="3"/>
      <c r="B73" s="3"/>
      <c r="C73" s="3">
        <f t="shared" si="0"/>
        <v>-16380000</v>
      </c>
      <c r="D73" s="7"/>
      <c r="E73" s="8"/>
      <c r="F73" s="58"/>
      <c r="I73" s="92">
        <v>11</v>
      </c>
      <c r="J73" s="8" t="s">
        <v>238</v>
      </c>
      <c r="K73" s="41"/>
      <c r="L73" s="41">
        <v>1250000</v>
      </c>
      <c r="M73" s="7">
        <f t="shared" si="4"/>
        <v>1250000</v>
      </c>
      <c r="N73" s="208"/>
    </row>
    <row r="74" spans="1:14" ht="15.6" x14ac:dyDescent="0.3">
      <c r="A74" s="3"/>
      <c r="B74" s="3"/>
      <c r="C74" s="3">
        <f t="shared" si="0"/>
        <v>-16380000</v>
      </c>
      <c r="D74" s="7"/>
      <c r="E74" s="8"/>
      <c r="F74" s="58"/>
      <c r="I74" s="92">
        <v>12</v>
      </c>
      <c r="J74" s="8" t="s">
        <v>239</v>
      </c>
      <c r="K74" s="41"/>
      <c r="L74" s="41">
        <v>1250000</v>
      </c>
      <c r="M74" s="7">
        <f t="shared" si="4"/>
        <v>0</v>
      </c>
      <c r="N74" s="208"/>
    </row>
    <row r="75" spans="1:14" ht="15.6" x14ac:dyDescent="0.3">
      <c r="A75" s="3"/>
      <c r="B75" s="3"/>
      <c r="C75" s="3">
        <f t="shared" si="0"/>
        <v>-16380000</v>
      </c>
      <c r="D75" s="7"/>
      <c r="E75" s="8"/>
      <c r="F75" s="58"/>
      <c r="I75" s="92"/>
      <c r="J75" s="8"/>
      <c r="K75" s="41"/>
      <c r="L75" s="41"/>
      <c r="M75" s="7">
        <f t="shared" si="4"/>
        <v>0</v>
      </c>
      <c r="N75" s="208"/>
    </row>
    <row r="76" spans="1:14" ht="15.6" x14ac:dyDescent="0.3">
      <c r="A76" s="3"/>
      <c r="B76" s="3"/>
      <c r="C76" s="3">
        <f t="shared" si="0"/>
        <v>-16380000</v>
      </c>
      <c r="D76" s="7"/>
      <c r="E76" s="8"/>
      <c r="F76" s="58"/>
      <c r="I76" s="92"/>
      <c r="J76" s="8"/>
      <c r="K76" s="41"/>
      <c r="L76" s="41"/>
      <c r="M76" s="7">
        <f t="shared" si="4"/>
        <v>0</v>
      </c>
      <c r="N76" s="208"/>
    </row>
    <row r="77" spans="1:14" ht="15.6" x14ac:dyDescent="0.3">
      <c r="A77" s="3"/>
      <c r="B77" s="3"/>
      <c r="C77" s="3">
        <f t="shared" si="0"/>
        <v>-16380000</v>
      </c>
      <c r="D77" s="7"/>
      <c r="E77" s="8"/>
      <c r="F77" s="58"/>
      <c r="I77" s="92"/>
      <c r="J77" s="8"/>
      <c r="K77" s="41"/>
      <c r="L77" s="41"/>
      <c r="M77" s="7">
        <f t="shared" si="4"/>
        <v>0</v>
      </c>
      <c r="N77" s="208"/>
    </row>
    <row r="78" spans="1:14" ht="15.6" x14ac:dyDescent="0.3">
      <c r="A78" s="3"/>
      <c r="B78" s="3"/>
      <c r="C78" s="3">
        <f t="shared" si="0"/>
        <v>-16380000</v>
      </c>
      <c r="D78" s="7"/>
      <c r="E78" s="8"/>
      <c r="F78" s="58"/>
      <c r="I78" s="92"/>
      <c r="J78" s="8"/>
      <c r="K78" s="41"/>
      <c r="L78" s="41"/>
      <c r="M78" s="7">
        <f t="shared" si="4"/>
        <v>0</v>
      </c>
      <c r="N78" s="208"/>
    </row>
    <row r="79" spans="1:14" ht="15.6" x14ac:dyDescent="0.3">
      <c r="A79" s="3"/>
      <c r="B79" s="3"/>
      <c r="C79" s="3">
        <f t="shared" si="0"/>
        <v>-16380000</v>
      </c>
      <c r="D79" s="52"/>
      <c r="E79" s="8"/>
      <c r="F79" s="58"/>
      <c r="I79" s="92"/>
      <c r="J79" s="8"/>
      <c r="K79" s="41"/>
      <c r="L79" s="41"/>
      <c r="M79" s="7">
        <f t="shared" si="4"/>
        <v>0</v>
      </c>
      <c r="N79" s="208"/>
    </row>
    <row r="80" spans="1:14" ht="15.6" x14ac:dyDescent="0.3">
      <c r="A80" s="3"/>
      <c r="B80" s="3"/>
      <c r="C80" s="3">
        <f t="shared" ref="C80:C143" si="5">IF(A80&gt;0,C79+A80-B80,C79-B80)</f>
        <v>-16380000</v>
      </c>
      <c r="D80" s="7"/>
      <c r="E80" s="8"/>
      <c r="F80" s="58"/>
      <c r="I80" s="92"/>
      <c r="J80" s="8"/>
      <c r="K80" s="41"/>
      <c r="L80" s="41"/>
      <c r="M80" s="7">
        <f t="shared" si="4"/>
        <v>0</v>
      </c>
      <c r="N80" s="208"/>
    </row>
    <row r="81" spans="1:14" ht="15.6" x14ac:dyDescent="0.3">
      <c r="A81" s="3"/>
      <c r="B81" s="3"/>
      <c r="C81" s="3">
        <f t="shared" si="5"/>
        <v>-16380000</v>
      </c>
      <c r="D81" s="7"/>
      <c r="E81" s="8"/>
      <c r="F81" s="58"/>
      <c r="I81" s="92"/>
      <c r="J81" s="8"/>
      <c r="K81" s="41"/>
      <c r="L81" s="41"/>
      <c r="M81" s="7">
        <f t="shared" si="4"/>
        <v>0</v>
      </c>
      <c r="N81" s="208"/>
    </row>
    <row r="82" spans="1:14" ht="15.6" x14ac:dyDescent="0.3">
      <c r="A82" s="3"/>
      <c r="B82" s="3"/>
      <c r="C82" s="3">
        <f t="shared" si="5"/>
        <v>-16380000</v>
      </c>
      <c r="D82" s="7"/>
      <c r="E82" s="8"/>
      <c r="F82" s="58"/>
      <c r="I82" s="92"/>
      <c r="J82" s="8"/>
      <c r="K82" s="41"/>
      <c r="L82" s="41"/>
      <c r="M82" s="7">
        <f t="shared" si="4"/>
        <v>0</v>
      </c>
      <c r="N82" s="208"/>
    </row>
    <row r="83" spans="1:14" ht="15.6" x14ac:dyDescent="0.3">
      <c r="A83" s="3"/>
      <c r="B83" s="3"/>
      <c r="C83" s="3">
        <f t="shared" si="5"/>
        <v>-16380000</v>
      </c>
      <c r="D83" s="7"/>
      <c r="E83" s="8"/>
      <c r="F83" s="58"/>
    </row>
    <row r="84" spans="1:14" ht="15.6" x14ac:dyDescent="0.3">
      <c r="A84" s="3"/>
      <c r="B84" s="3"/>
      <c r="C84" s="3">
        <f t="shared" si="5"/>
        <v>-16380000</v>
      </c>
      <c r="D84" s="7"/>
      <c r="E84" s="8"/>
      <c r="F84" s="58"/>
    </row>
    <row r="85" spans="1:14" ht="15.6" x14ac:dyDescent="0.3">
      <c r="A85" s="3"/>
      <c r="B85" s="3"/>
      <c r="C85" s="3">
        <f t="shared" si="5"/>
        <v>-16380000</v>
      </c>
      <c r="D85" s="7"/>
      <c r="E85" s="8"/>
      <c r="F85" s="58"/>
    </row>
    <row r="86" spans="1:14" ht="15.6" x14ac:dyDescent="0.3">
      <c r="A86" s="3"/>
      <c r="B86" s="3"/>
      <c r="C86" s="3">
        <f t="shared" si="5"/>
        <v>-16380000</v>
      </c>
      <c r="D86" s="7"/>
      <c r="E86" s="8"/>
      <c r="F86" s="58"/>
    </row>
    <row r="87" spans="1:14" ht="15.6" x14ac:dyDescent="0.3">
      <c r="A87" s="3"/>
      <c r="B87" s="3"/>
      <c r="C87" s="3">
        <f t="shared" si="5"/>
        <v>-16380000</v>
      </c>
      <c r="D87" s="7"/>
      <c r="E87" s="8"/>
      <c r="F87" s="58"/>
    </row>
    <row r="88" spans="1:14" ht="15.6" x14ac:dyDescent="0.3">
      <c r="A88" s="3"/>
      <c r="B88" s="3"/>
      <c r="C88" s="3">
        <f t="shared" si="5"/>
        <v>-16380000</v>
      </c>
      <c r="D88" s="7"/>
      <c r="E88" s="8"/>
      <c r="F88" s="58"/>
    </row>
    <row r="89" spans="1:14" ht="15.6" x14ac:dyDescent="0.3">
      <c r="A89" s="3"/>
      <c r="B89" s="3"/>
      <c r="C89" s="3">
        <f t="shared" si="5"/>
        <v>-16380000</v>
      </c>
      <c r="D89" s="7"/>
      <c r="E89" s="8"/>
      <c r="F89" s="58"/>
    </row>
    <row r="90" spans="1:14" ht="15.6" x14ac:dyDescent="0.3">
      <c r="A90" s="3"/>
      <c r="B90" s="3"/>
      <c r="C90" s="3">
        <f t="shared" si="5"/>
        <v>-16380000</v>
      </c>
      <c r="D90" s="7"/>
      <c r="E90" s="8"/>
      <c r="F90" s="58"/>
    </row>
    <row r="91" spans="1:14" ht="15.6" x14ac:dyDescent="0.3">
      <c r="A91" s="3"/>
      <c r="B91" s="3"/>
      <c r="C91" s="3">
        <f t="shared" si="5"/>
        <v>-16380000</v>
      </c>
      <c r="D91" s="7"/>
      <c r="E91" s="8"/>
      <c r="F91" s="58"/>
    </row>
    <row r="92" spans="1:14" ht="15.6" x14ac:dyDescent="0.3">
      <c r="A92" s="3"/>
      <c r="B92" s="3"/>
      <c r="C92" s="3">
        <f t="shared" si="5"/>
        <v>-16380000</v>
      </c>
      <c r="D92" s="7"/>
      <c r="E92" s="8"/>
      <c r="F92" s="58"/>
    </row>
    <row r="93" spans="1:14" ht="15.6" x14ac:dyDescent="0.3">
      <c r="A93" s="3"/>
      <c r="B93" s="3"/>
      <c r="C93" s="3">
        <f t="shared" si="5"/>
        <v>-16380000</v>
      </c>
      <c r="D93" s="7"/>
      <c r="E93" s="8"/>
      <c r="F93" s="58"/>
    </row>
    <row r="94" spans="1:14" ht="15.6" x14ac:dyDescent="0.3">
      <c r="A94" s="3"/>
      <c r="B94" s="3"/>
      <c r="C94" s="3">
        <f t="shared" si="5"/>
        <v>-16380000</v>
      </c>
      <c r="D94" s="7"/>
      <c r="E94" s="8"/>
      <c r="F94" s="58"/>
    </row>
    <row r="95" spans="1:14" ht="15.6" x14ac:dyDescent="0.3">
      <c r="A95" s="3"/>
      <c r="B95" s="3"/>
      <c r="C95" s="3">
        <f t="shared" si="5"/>
        <v>-16380000</v>
      </c>
      <c r="D95" s="7"/>
      <c r="E95" s="8"/>
      <c r="F95" s="58"/>
    </row>
    <row r="96" spans="1:14" ht="15.6" x14ac:dyDescent="0.3">
      <c r="A96" s="3"/>
      <c r="B96" s="3"/>
      <c r="C96" s="3">
        <f t="shared" si="5"/>
        <v>-16380000</v>
      </c>
      <c r="D96" s="7"/>
      <c r="E96" s="8"/>
      <c r="F96" s="58"/>
    </row>
    <row r="97" spans="1:6" ht="15.6" x14ac:dyDescent="0.3">
      <c r="A97" s="3"/>
      <c r="B97" s="3"/>
      <c r="C97" s="3">
        <f t="shared" si="5"/>
        <v>-16380000</v>
      </c>
      <c r="D97" s="7"/>
      <c r="E97" s="8"/>
      <c r="F97" s="58"/>
    </row>
    <row r="98" spans="1:6" ht="15.6" x14ac:dyDescent="0.3">
      <c r="A98" s="3"/>
      <c r="B98" s="3"/>
      <c r="C98" s="3">
        <f t="shared" si="5"/>
        <v>-16380000</v>
      </c>
      <c r="D98" s="7"/>
      <c r="E98" s="8"/>
      <c r="F98" s="7"/>
    </row>
    <row r="99" spans="1:6" ht="15.6" x14ac:dyDescent="0.3">
      <c r="A99" s="3"/>
      <c r="B99" s="3"/>
      <c r="C99" s="3">
        <f t="shared" si="5"/>
        <v>-16380000</v>
      </c>
      <c r="D99" s="7"/>
      <c r="E99" s="8"/>
      <c r="F99" s="7"/>
    </row>
    <row r="100" spans="1:6" ht="15.6" x14ac:dyDescent="0.3">
      <c r="A100" s="3"/>
      <c r="B100" s="3"/>
      <c r="C100" s="3">
        <f t="shared" si="5"/>
        <v>-16380000</v>
      </c>
      <c r="D100" s="7"/>
      <c r="E100" s="8"/>
      <c r="F100" s="7"/>
    </row>
    <row r="101" spans="1:6" ht="15.6" x14ac:dyDescent="0.3">
      <c r="A101" s="3"/>
      <c r="B101" s="3"/>
      <c r="C101" s="3">
        <f t="shared" si="5"/>
        <v>-16380000</v>
      </c>
      <c r="D101" s="7"/>
      <c r="E101" s="8"/>
      <c r="F101" s="7"/>
    </row>
    <row r="102" spans="1:6" ht="15.6" x14ac:dyDescent="0.3">
      <c r="A102" s="3"/>
      <c r="B102" s="3"/>
      <c r="C102" s="3">
        <f t="shared" si="5"/>
        <v>-16380000</v>
      </c>
      <c r="D102" s="7"/>
      <c r="E102" s="8"/>
      <c r="F102" s="7"/>
    </row>
    <row r="103" spans="1:6" ht="15.6" x14ac:dyDescent="0.3">
      <c r="A103" s="3"/>
      <c r="B103" s="3"/>
      <c r="C103" s="3">
        <f t="shared" si="5"/>
        <v>-16380000</v>
      </c>
      <c r="D103" s="7"/>
      <c r="E103" s="8"/>
      <c r="F103" s="7"/>
    </row>
    <row r="104" spans="1:6" ht="15.6" x14ac:dyDescent="0.3">
      <c r="A104" s="3"/>
      <c r="B104" s="3"/>
      <c r="C104" s="3">
        <f t="shared" si="5"/>
        <v>-16380000</v>
      </c>
      <c r="D104" s="7"/>
      <c r="E104" s="8"/>
      <c r="F104" s="7"/>
    </row>
    <row r="105" spans="1:6" ht="15.6" x14ac:dyDescent="0.3">
      <c r="A105" s="3"/>
      <c r="B105" s="3"/>
      <c r="C105" s="3">
        <f t="shared" si="5"/>
        <v>-16380000</v>
      </c>
      <c r="D105" s="7"/>
      <c r="E105" s="8"/>
      <c r="F105" s="7"/>
    </row>
    <row r="106" spans="1:6" ht="15.6" x14ac:dyDescent="0.3">
      <c r="A106" s="3"/>
      <c r="B106" s="3"/>
      <c r="C106" s="3">
        <f t="shared" si="5"/>
        <v>-16380000</v>
      </c>
      <c r="D106" s="7"/>
      <c r="E106" s="8"/>
      <c r="F106" s="7"/>
    </row>
    <row r="107" spans="1:6" ht="15.6" x14ac:dyDescent="0.3">
      <c r="A107" s="3"/>
      <c r="B107" s="3"/>
      <c r="C107" s="3">
        <f t="shared" si="5"/>
        <v>-16380000</v>
      </c>
      <c r="D107" s="7"/>
      <c r="E107" s="8"/>
      <c r="F107" s="7"/>
    </row>
    <row r="108" spans="1:6" ht="15.6" x14ac:dyDescent="0.3">
      <c r="A108" s="3"/>
      <c r="B108" s="3"/>
      <c r="C108" s="3">
        <f t="shared" si="5"/>
        <v>-16380000</v>
      </c>
      <c r="D108" s="7"/>
      <c r="E108" s="8"/>
      <c r="F108" s="7"/>
    </row>
    <row r="109" spans="1:6" ht="15.6" x14ac:dyDescent="0.3">
      <c r="A109" s="3"/>
      <c r="B109" s="3"/>
      <c r="C109" s="3">
        <f t="shared" si="5"/>
        <v>-16380000</v>
      </c>
      <c r="D109" s="7"/>
      <c r="E109" s="8"/>
      <c r="F109" s="7"/>
    </row>
    <row r="110" spans="1:6" ht="15.6" x14ac:dyDescent="0.3">
      <c r="A110" s="3"/>
      <c r="B110" s="3"/>
      <c r="C110" s="3">
        <f t="shared" si="5"/>
        <v>-16380000</v>
      </c>
      <c r="D110" s="7"/>
      <c r="E110" s="8"/>
      <c r="F110" s="7"/>
    </row>
    <row r="111" spans="1:6" ht="15.6" x14ac:dyDescent="0.3">
      <c r="A111" s="3"/>
      <c r="B111" s="3"/>
      <c r="C111" s="3">
        <f t="shared" si="5"/>
        <v>-16380000</v>
      </c>
      <c r="D111" s="7"/>
      <c r="E111" s="8"/>
      <c r="F111" s="7"/>
    </row>
    <row r="112" spans="1:6" ht="15.6" x14ac:dyDescent="0.3">
      <c r="A112" s="3"/>
      <c r="B112" s="3"/>
      <c r="C112" s="3">
        <f t="shared" si="5"/>
        <v>-16380000</v>
      </c>
      <c r="D112" s="7"/>
      <c r="E112" s="8"/>
      <c r="F112" s="7"/>
    </row>
    <row r="113" spans="1:6" ht="15.6" x14ac:dyDescent="0.3">
      <c r="A113" s="3"/>
      <c r="B113" s="3"/>
      <c r="C113" s="3">
        <f t="shared" si="5"/>
        <v>-16380000</v>
      </c>
      <c r="D113" s="7"/>
      <c r="E113" s="8"/>
      <c r="F113" s="7"/>
    </row>
    <row r="114" spans="1:6" ht="15.6" x14ac:dyDescent="0.3">
      <c r="A114" s="3"/>
      <c r="B114" s="3"/>
      <c r="C114" s="3">
        <f t="shared" si="5"/>
        <v>-16380000</v>
      </c>
      <c r="D114" s="7"/>
      <c r="E114" s="8"/>
      <c r="F114" s="7"/>
    </row>
    <row r="115" spans="1:6" ht="15.6" x14ac:dyDescent="0.3">
      <c r="A115" s="3"/>
      <c r="B115" s="3"/>
      <c r="C115" s="3">
        <f t="shared" si="5"/>
        <v>-16380000</v>
      </c>
      <c r="D115" s="7"/>
      <c r="E115" s="8"/>
      <c r="F115" s="7"/>
    </row>
    <row r="116" spans="1:6" ht="15.6" x14ac:dyDescent="0.3">
      <c r="A116" s="3"/>
      <c r="B116" s="3"/>
      <c r="C116" s="3">
        <f t="shared" si="5"/>
        <v>-16380000</v>
      </c>
      <c r="D116" s="7"/>
      <c r="E116" s="8"/>
      <c r="F116" s="7"/>
    </row>
    <row r="117" spans="1:6" ht="15.6" x14ac:dyDescent="0.3">
      <c r="A117" s="3"/>
      <c r="B117" s="3"/>
      <c r="C117" s="3">
        <f t="shared" si="5"/>
        <v>-16380000</v>
      </c>
      <c r="D117" s="7"/>
      <c r="E117" s="8"/>
      <c r="F117" s="7"/>
    </row>
    <row r="118" spans="1:6" ht="15.6" x14ac:dyDescent="0.3">
      <c r="A118" s="3"/>
      <c r="B118" s="3"/>
      <c r="C118" s="3">
        <f t="shared" si="5"/>
        <v>-16380000</v>
      </c>
      <c r="D118" s="7"/>
      <c r="E118" s="8"/>
      <c r="F118" s="7"/>
    </row>
    <row r="119" spans="1:6" ht="15.6" x14ac:dyDescent="0.3">
      <c r="A119" s="3"/>
      <c r="B119" s="3"/>
      <c r="C119" s="3">
        <f t="shared" si="5"/>
        <v>-16380000</v>
      </c>
      <c r="D119" s="7"/>
      <c r="E119" s="8"/>
      <c r="F119" s="7"/>
    </row>
    <row r="120" spans="1:6" ht="15.6" x14ac:dyDescent="0.3">
      <c r="A120" s="3"/>
      <c r="B120" s="3"/>
      <c r="C120" s="3">
        <f t="shared" si="5"/>
        <v>-16380000</v>
      </c>
      <c r="D120" s="7"/>
      <c r="E120" s="8"/>
      <c r="F120" s="7"/>
    </row>
    <row r="121" spans="1:6" ht="15.6" x14ac:dyDescent="0.3">
      <c r="A121" s="3"/>
      <c r="B121" s="3"/>
      <c r="C121" s="3">
        <f t="shared" si="5"/>
        <v>-16380000</v>
      </c>
      <c r="D121" s="7"/>
      <c r="E121" s="8"/>
      <c r="F121" s="7"/>
    </row>
    <row r="122" spans="1:6" ht="15.6" x14ac:dyDescent="0.3">
      <c r="A122" s="3"/>
      <c r="B122" s="3"/>
      <c r="C122" s="3">
        <f t="shared" si="5"/>
        <v>-16380000</v>
      </c>
      <c r="D122" s="7"/>
      <c r="E122" s="8"/>
      <c r="F122" s="7"/>
    </row>
    <row r="123" spans="1:6" ht="15.6" x14ac:dyDescent="0.3">
      <c r="A123" s="3"/>
      <c r="B123" s="3"/>
      <c r="C123" s="3">
        <f t="shared" si="5"/>
        <v>-16380000</v>
      </c>
      <c r="D123" s="7"/>
      <c r="E123" s="8"/>
      <c r="F123" s="7"/>
    </row>
    <row r="124" spans="1:6" ht="15.6" x14ac:dyDescent="0.3">
      <c r="A124" s="3"/>
      <c r="B124" s="3"/>
      <c r="C124" s="3">
        <f t="shared" si="5"/>
        <v>-16380000</v>
      </c>
      <c r="D124" s="7"/>
      <c r="E124" s="8"/>
      <c r="F124" s="7"/>
    </row>
    <row r="125" spans="1:6" ht="15.6" x14ac:dyDescent="0.3">
      <c r="A125" s="3"/>
      <c r="B125" s="3"/>
      <c r="C125" s="3">
        <f t="shared" si="5"/>
        <v>-16380000</v>
      </c>
      <c r="D125" s="7"/>
      <c r="E125" s="8"/>
      <c r="F125" s="7"/>
    </row>
    <row r="126" spans="1:6" ht="15.6" x14ac:dyDescent="0.3">
      <c r="A126" s="3"/>
      <c r="B126" s="3"/>
      <c r="C126" s="3">
        <f t="shared" si="5"/>
        <v>-16380000</v>
      </c>
      <c r="D126" s="7"/>
      <c r="E126" s="8"/>
      <c r="F126" s="7"/>
    </row>
    <row r="127" spans="1:6" ht="15.6" x14ac:dyDescent="0.3">
      <c r="A127" s="3"/>
      <c r="B127" s="3"/>
      <c r="C127" s="3">
        <f t="shared" si="5"/>
        <v>-16380000</v>
      </c>
      <c r="D127" s="7"/>
      <c r="E127" s="8"/>
      <c r="F127" s="7"/>
    </row>
    <row r="128" spans="1:6" ht="15.6" x14ac:dyDescent="0.3">
      <c r="A128" s="3"/>
      <c r="B128" s="3"/>
      <c r="C128" s="3">
        <f t="shared" si="5"/>
        <v>-16380000</v>
      </c>
      <c r="D128" s="7"/>
      <c r="E128" s="8"/>
      <c r="F128" s="7"/>
    </row>
    <row r="129" spans="1:6" ht="15.6" x14ac:dyDescent="0.3">
      <c r="A129" s="3"/>
      <c r="B129" s="3"/>
      <c r="C129" s="3">
        <f t="shared" si="5"/>
        <v>-16380000</v>
      </c>
      <c r="D129" s="7"/>
      <c r="E129" s="8"/>
      <c r="F129" s="7"/>
    </row>
    <row r="130" spans="1:6" ht="15.6" x14ac:dyDescent="0.3">
      <c r="A130" s="3"/>
      <c r="B130" s="3"/>
      <c r="C130" s="3">
        <f t="shared" si="5"/>
        <v>-16380000</v>
      </c>
      <c r="D130" s="7"/>
      <c r="E130" s="8"/>
      <c r="F130" s="7"/>
    </row>
    <row r="131" spans="1:6" ht="15.6" x14ac:dyDescent="0.3">
      <c r="A131" s="3"/>
      <c r="B131" s="3"/>
      <c r="C131" s="3">
        <f t="shared" si="5"/>
        <v>-16380000</v>
      </c>
      <c r="D131" s="7"/>
      <c r="E131" s="8"/>
      <c r="F131" s="7"/>
    </row>
    <row r="132" spans="1:6" ht="15.6" x14ac:dyDescent="0.3">
      <c r="A132" s="3"/>
      <c r="B132" s="3"/>
      <c r="C132" s="3">
        <f t="shared" si="5"/>
        <v>-16380000</v>
      </c>
      <c r="D132" s="7"/>
      <c r="E132" s="8"/>
      <c r="F132" s="7"/>
    </row>
    <row r="133" spans="1:6" ht="15.6" x14ac:dyDescent="0.3">
      <c r="A133" s="3"/>
      <c r="B133" s="3"/>
      <c r="C133" s="3">
        <f t="shared" si="5"/>
        <v>-16380000</v>
      </c>
      <c r="D133" s="7"/>
      <c r="E133" s="8"/>
      <c r="F133" s="7"/>
    </row>
    <row r="134" spans="1:6" ht="15.6" x14ac:dyDescent="0.3">
      <c r="A134" s="3"/>
      <c r="B134" s="3"/>
      <c r="C134" s="3">
        <f t="shared" si="5"/>
        <v>-16380000</v>
      </c>
      <c r="D134" s="7"/>
      <c r="E134" s="8"/>
      <c r="F134" s="7"/>
    </row>
    <row r="135" spans="1:6" ht="15.6" x14ac:dyDescent="0.3">
      <c r="A135" s="3"/>
      <c r="B135" s="3"/>
      <c r="C135" s="3">
        <f t="shared" si="5"/>
        <v>-16380000</v>
      </c>
      <c r="D135" s="7"/>
      <c r="E135" s="8"/>
      <c r="F135" s="7"/>
    </row>
    <row r="136" spans="1:6" ht="15.6" x14ac:dyDescent="0.3">
      <c r="A136" s="3"/>
      <c r="B136" s="3"/>
      <c r="C136" s="3">
        <f t="shared" si="5"/>
        <v>-16380000</v>
      </c>
      <c r="D136" s="7"/>
      <c r="E136" s="8"/>
      <c r="F136" s="7"/>
    </row>
    <row r="137" spans="1:6" ht="15.6" x14ac:dyDescent="0.3">
      <c r="A137" s="3"/>
      <c r="B137" s="3"/>
      <c r="C137" s="3">
        <f t="shared" si="5"/>
        <v>-16380000</v>
      </c>
      <c r="D137" s="7"/>
      <c r="E137" s="8"/>
      <c r="F137" s="7"/>
    </row>
    <row r="138" spans="1:6" ht="15.6" x14ac:dyDescent="0.3">
      <c r="A138" s="3"/>
      <c r="B138" s="3"/>
      <c r="C138" s="3">
        <f t="shared" si="5"/>
        <v>-16380000</v>
      </c>
      <c r="D138" s="7"/>
      <c r="E138" s="8"/>
      <c r="F138" s="7"/>
    </row>
    <row r="139" spans="1:6" ht="15.6" x14ac:dyDescent="0.3">
      <c r="A139" s="3"/>
      <c r="B139" s="3"/>
      <c r="C139" s="3">
        <f t="shared" si="5"/>
        <v>-16380000</v>
      </c>
      <c r="D139" s="7"/>
      <c r="E139" s="8"/>
      <c r="F139" s="7"/>
    </row>
    <row r="140" spans="1:6" ht="15.6" x14ac:dyDescent="0.3">
      <c r="A140" s="3"/>
      <c r="B140" s="3"/>
      <c r="C140" s="3">
        <f t="shared" si="5"/>
        <v>-16380000</v>
      </c>
      <c r="D140" s="7"/>
      <c r="E140" s="8"/>
      <c r="F140" s="7"/>
    </row>
    <row r="141" spans="1:6" ht="15.6" x14ac:dyDescent="0.3">
      <c r="A141" s="3"/>
      <c r="B141" s="3"/>
      <c r="C141" s="3">
        <f t="shared" si="5"/>
        <v>-16380000</v>
      </c>
      <c r="D141" s="7"/>
      <c r="E141" s="8"/>
      <c r="F141" s="7"/>
    </row>
    <row r="142" spans="1:6" ht="15.6" x14ac:dyDescent="0.3">
      <c r="A142" s="3"/>
      <c r="B142" s="3"/>
      <c r="C142" s="3">
        <f t="shared" si="5"/>
        <v>-16380000</v>
      </c>
      <c r="D142" s="7"/>
      <c r="E142" s="8"/>
      <c r="F142" s="7"/>
    </row>
    <row r="143" spans="1:6" ht="15.6" x14ac:dyDescent="0.3">
      <c r="A143" s="3"/>
      <c r="B143" s="3"/>
      <c r="C143" s="3">
        <f t="shared" si="5"/>
        <v>-16380000</v>
      </c>
      <c r="D143" s="7"/>
      <c r="E143" s="8"/>
      <c r="F143" s="7"/>
    </row>
    <row r="144" spans="1:6" ht="15.6" x14ac:dyDescent="0.3">
      <c r="A144" s="3"/>
      <c r="B144" s="3"/>
      <c r="C144" s="3">
        <f t="shared" ref="C144:C161" si="6">IF(A144&gt;0,C143+A144-B144,C143-B144)</f>
        <v>-16380000</v>
      </c>
      <c r="D144" s="7"/>
      <c r="E144" s="8"/>
      <c r="F144" s="7"/>
    </row>
    <row r="145" spans="1:6" ht="15.6" x14ac:dyDescent="0.3">
      <c r="A145" s="3"/>
      <c r="B145" s="3"/>
      <c r="C145" s="3">
        <f t="shared" si="6"/>
        <v>-16380000</v>
      </c>
      <c r="D145" s="7"/>
      <c r="E145" s="8"/>
      <c r="F145" s="7"/>
    </row>
    <row r="146" spans="1:6" ht="15.6" x14ac:dyDescent="0.3">
      <c r="A146" s="3"/>
      <c r="B146" s="3"/>
      <c r="C146" s="3">
        <f t="shared" si="6"/>
        <v>-16380000</v>
      </c>
      <c r="D146" s="7"/>
      <c r="E146" s="8"/>
      <c r="F146" s="7"/>
    </row>
    <row r="147" spans="1:6" ht="15.6" x14ac:dyDescent="0.3">
      <c r="A147" s="3"/>
      <c r="B147" s="3"/>
      <c r="C147" s="3">
        <f t="shared" si="6"/>
        <v>-16380000</v>
      </c>
      <c r="D147" s="7"/>
      <c r="E147" s="8"/>
      <c r="F147" s="7"/>
    </row>
    <row r="148" spans="1:6" ht="15.6" x14ac:dyDescent="0.3">
      <c r="A148" s="3"/>
      <c r="B148" s="3"/>
      <c r="C148" s="3">
        <f t="shared" si="6"/>
        <v>-16380000</v>
      </c>
      <c r="D148" s="7"/>
      <c r="E148" s="8"/>
      <c r="F148" s="7"/>
    </row>
    <row r="149" spans="1:6" ht="15.6" x14ac:dyDescent="0.3">
      <c r="A149" s="3"/>
      <c r="B149" s="3"/>
      <c r="C149" s="3">
        <f t="shared" si="6"/>
        <v>-16380000</v>
      </c>
      <c r="D149" s="7"/>
      <c r="E149" s="8"/>
      <c r="F149" s="7"/>
    </row>
    <row r="150" spans="1:6" ht="15.6" x14ac:dyDescent="0.3">
      <c r="A150" s="3"/>
      <c r="B150" s="3"/>
      <c r="C150" s="3">
        <f t="shared" si="6"/>
        <v>-16380000</v>
      </c>
      <c r="D150" s="7"/>
      <c r="E150" s="8"/>
      <c r="F150" s="7"/>
    </row>
    <row r="151" spans="1:6" ht="15.6" x14ac:dyDescent="0.3">
      <c r="A151" s="3"/>
      <c r="B151" s="3"/>
      <c r="C151" s="3">
        <f t="shared" si="6"/>
        <v>-16380000</v>
      </c>
      <c r="D151" s="7"/>
      <c r="E151" s="8"/>
      <c r="F151" s="7"/>
    </row>
    <row r="152" spans="1:6" ht="15.6" x14ac:dyDescent="0.3">
      <c r="A152" s="3"/>
      <c r="B152" s="3"/>
      <c r="C152" s="3">
        <f t="shared" si="6"/>
        <v>-16380000</v>
      </c>
      <c r="D152" s="7"/>
      <c r="E152" s="8"/>
      <c r="F152" s="7"/>
    </row>
    <row r="153" spans="1:6" ht="15.6" x14ac:dyDescent="0.3">
      <c r="A153" s="3"/>
      <c r="B153" s="3"/>
      <c r="C153" s="3">
        <f t="shared" si="6"/>
        <v>-16380000</v>
      </c>
      <c r="D153" s="7"/>
      <c r="E153" s="8"/>
      <c r="F153" s="7"/>
    </row>
    <row r="154" spans="1:6" ht="15.6" x14ac:dyDescent="0.3">
      <c r="A154" s="3"/>
      <c r="B154" s="3"/>
      <c r="C154" s="3">
        <f t="shared" si="6"/>
        <v>-16380000</v>
      </c>
      <c r="D154" s="7"/>
      <c r="E154" s="8"/>
      <c r="F154" s="7"/>
    </row>
    <row r="155" spans="1:6" ht="15.6" x14ac:dyDescent="0.3">
      <c r="A155" s="3"/>
      <c r="B155" s="3"/>
      <c r="C155" s="3">
        <f t="shared" si="6"/>
        <v>-16380000</v>
      </c>
      <c r="D155" s="7"/>
      <c r="E155" s="8"/>
      <c r="F155" s="7"/>
    </row>
    <row r="156" spans="1:6" ht="15.6" x14ac:dyDescent="0.3">
      <c r="A156" s="3"/>
      <c r="B156" s="3"/>
      <c r="C156" s="3">
        <f t="shared" si="6"/>
        <v>-16380000</v>
      </c>
      <c r="D156" s="7"/>
      <c r="E156" s="8"/>
      <c r="F156" s="7"/>
    </row>
    <row r="157" spans="1:6" ht="15.6" x14ac:dyDescent="0.3">
      <c r="A157" s="3"/>
      <c r="B157" s="3"/>
      <c r="C157" s="3">
        <f t="shared" si="6"/>
        <v>-16380000</v>
      </c>
      <c r="D157" s="7"/>
      <c r="E157" s="8"/>
      <c r="F157" s="7"/>
    </row>
    <row r="158" spans="1:6" ht="15.6" x14ac:dyDescent="0.3">
      <c r="A158" s="3"/>
      <c r="B158" s="3"/>
      <c r="C158" s="3">
        <f t="shared" si="6"/>
        <v>-16380000</v>
      </c>
      <c r="D158" s="7"/>
      <c r="E158" s="8"/>
      <c r="F158" s="7"/>
    </row>
    <row r="159" spans="1:6" ht="15.6" x14ac:dyDescent="0.3">
      <c r="A159" s="3"/>
      <c r="B159" s="3"/>
      <c r="C159" s="3">
        <f t="shared" si="6"/>
        <v>-16380000</v>
      </c>
      <c r="D159" s="7"/>
      <c r="E159" s="8"/>
      <c r="F159" s="7"/>
    </row>
    <row r="160" spans="1:6" ht="15.6" x14ac:dyDescent="0.3">
      <c r="A160" s="3"/>
      <c r="B160" s="3"/>
      <c r="C160" s="3">
        <f t="shared" si="6"/>
        <v>-16380000</v>
      </c>
      <c r="D160" s="7"/>
      <c r="E160" s="8"/>
      <c r="F160" s="7"/>
    </row>
    <row r="161" spans="1:6" ht="15.6" x14ac:dyDescent="0.3">
      <c r="A161" s="3"/>
      <c r="B161" s="3"/>
      <c r="C161" s="3">
        <f t="shared" si="6"/>
        <v>-16380000</v>
      </c>
      <c r="D161" s="7"/>
      <c r="E161" s="8"/>
      <c r="F161" s="7"/>
    </row>
  </sheetData>
  <mergeCells count="8">
    <mergeCell ref="A3:C3"/>
    <mergeCell ref="F6:F11"/>
    <mergeCell ref="F12:F15"/>
    <mergeCell ref="K2:L2"/>
    <mergeCell ref="L3:M3"/>
    <mergeCell ref="L6:M6"/>
    <mergeCell ref="L59:M59"/>
    <mergeCell ref="L33:M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52"/>
  <sheetViews>
    <sheetView rightToLeft="1" workbookViewId="0">
      <pane ySplit="5" topLeftCell="A6" activePane="bottomLeft" state="frozen"/>
      <selection pane="bottomLeft" activeCell="H9" sqref="H9"/>
    </sheetView>
  </sheetViews>
  <sheetFormatPr defaultColWidth="9" defaultRowHeight="14.4" x14ac:dyDescent="0.3"/>
  <cols>
    <col min="1" max="1" width="11.33203125" customWidth="1"/>
    <col min="2" max="2" width="11.88671875" customWidth="1"/>
    <col min="3" max="3" width="13.5546875" customWidth="1"/>
    <col min="4" max="4" width="23.6640625" customWidth="1"/>
    <col min="5" max="5" width="20.44140625" bestFit="1" customWidth="1"/>
    <col min="8" max="8" width="15.6640625" customWidth="1"/>
    <col min="9" max="9" width="15.33203125" customWidth="1"/>
    <col min="10" max="12" width="17.44140625" bestFit="1" customWidth="1"/>
    <col min="13" max="13" width="23.109375" bestFit="1" customWidth="1"/>
    <col min="14" max="14" width="16" bestFit="1" customWidth="1"/>
  </cols>
  <sheetData>
    <row r="1" spans="1:14" ht="15.6" x14ac:dyDescent="0.3">
      <c r="A1" s="1"/>
      <c r="B1" s="1"/>
      <c r="C1" s="1"/>
      <c r="D1" s="1"/>
      <c r="E1" s="2"/>
      <c r="F1" s="1"/>
    </row>
    <row r="2" spans="1:14" ht="15.6" x14ac:dyDescent="0.3">
      <c r="A2" s="3">
        <f>SUBTOTAL(9,A5:A152)</f>
        <v>6760000</v>
      </c>
      <c r="B2" s="3">
        <f>SUBTOTAL(9,B5:B152)</f>
        <v>6800000</v>
      </c>
      <c r="C2" s="3">
        <f>A2-B2</f>
        <v>-40000</v>
      </c>
      <c r="D2" s="1"/>
      <c r="E2" s="2"/>
      <c r="F2" s="1"/>
    </row>
    <row r="3" spans="1:14" ht="29.25" customHeight="1" x14ac:dyDescent="0.3">
      <c r="A3" s="273" t="s">
        <v>203</v>
      </c>
      <c r="B3" s="274"/>
      <c r="C3" s="275"/>
      <c r="D3" s="273"/>
      <c r="E3" s="274"/>
      <c r="F3" s="275"/>
    </row>
    <row r="4" spans="1:14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4" ht="0.75" customHeight="1" x14ac:dyDescent="0.3">
      <c r="A5" s="7"/>
      <c r="B5" s="7"/>
      <c r="C5" s="7">
        <v>0</v>
      </c>
      <c r="D5" s="7"/>
      <c r="E5" s="8"/>
      <c r="F5" s="7"/>
    </row>
    <row r="6" spans="1:14" ht="15.6" x14ac:dyDescent="0.3">
      <c r="A6" s="80"/>
      <c r="B6" s="80">
        <v>5800000</v>
      </c>
      <c r="C6" s="4">
        <f>IF(A6&gt;0,C5+A6-B6,C5-B6)</f>
        <v>-5800000</v>
      </c>
      <c r="D6" s="81" t="s">
        <v>204</v>
      </c>
      <c r="E6" s="82"/>
      <c r="F6" s="58"/>
    </row>
    <row r="7" spans="1:14" ht="15.6" x14ac:dyDescent="0.3">
      <c r="A7" s="36">
        <v>2500000</v>
      </c>
      <c r="B7" s="83"/>
      <c r="C7" s="3">
        <f t="shared" ref="C7:C71" si="0">IF(A7&gt;0,C6+A7-B7,C6-B7)</f>
        <v>-3300000</v>
      </c>
      <c r="D7" s="75" t="s">
        <v>128</v>
      </c>
      <c r="E7" s="35" t="s">
        <v>205</v>
      </c>
      <c r="F7" s="58"/>
      <c r="H7" s="6"/>
      <c r="I7" s="5" t="s">
        <v>37</v>
      </c>
      <c r="J7" s="6" t="s">
        <v>208</v>
      </c>
      <c r="K7" s="272" t="s">
        <v>209</v>
      </c>
      <c r="L7" s="272"/>
      <c r="M7" s="272"/>
      <c r="N7" s="5" t="s">
        <v>7</v>
      </c>
    </row>
    <row r="8" spans="1:14" ht="15.6" x14ac:dyDescent="0.3">
      <c r="A8" s="3">
        <v>1000000</v>
      </c>
      <c r="B8" s="83"/>
      <c r="C8" s="3">
        <f t="shared" si="0"/>
        <v>-2300000</v>
      </c>
      <c r="D8" s="75" t="s">
        <v>128</v>
      </c>
      <c r="E8" s="8" t="s">
        <v>206</v>
      </c>
      <c r="F8" s="58"/>
      <c r="H8" s="7" t="s">
        <v>40</v>
      </c>
      <c r="I8" s="7" t="s">
        <v>6</v>
      </c>
      <c r="J8" s="41" t="s">
        <v>41</v>
      </c>
      <c r="K8" s="41" t="s">
        <v>42</v>
      </c>
      <c r="L8" s="7" t="s">
        <v>43</v>
      </c>
      <c r="M8" s="7" t="s">
        <v>7</v>
      </c>
      <c r="N8" s="37" t="s">
        <v>510</v>
      </c>
    </row>
    <row r="9" spans="1:14" ht="15.6" x14ac:dyDescent="0.3">
      <c r="A9" s="3">
        <v>460000</v>
      </c>
      <c r="B9" s="84"/>
      <c r="C9" s="3">
        <f t="shared" si="0"/>
        <v>-1840000</v>
      </c>
      <c r="D9" s="75" t="s">
        <v>210</v>
      </c>
      <c r="E9" s="8" t="s">
        <v>207</v>
      </c>
      <c r="F9" s="58"/>
      <c r="H9" s="7"/>
      <c r="I9" s="7"/>
      <c r="J9" s="3">
        <v>5800000</v>
      </c>
      <c r="K9" s="41"/>
      <c r="L9" s="3">
        <f>J9-K9</f>
        <v>5800000</v>
      </c>
      <c r="M9" s="7" t="s">
        <v>204</v>
      </c>
      <c r="N9" s="37" t="s">
        <v>511</v>
      </c>
    </row>
    <row r="10" spans="1:14" ht="15.6" x14ac:dyDescent="0.3">
      <c r="A10" s="3">
        <v>460000</v>
      </c>
      <c r="B10" s="83"/>
      <c r="C10" s="3">
        <f t="shared" si="0"/>
        <v>-1380000</v>
      </c>
      <c r="D10" s="75" t="s">
        <v>210</v>
      </c>
      <c r="E10" s="8">
        <v>46331</v>
      </c>
      <c r="F10" s="58"/>
      <c r="H10" s="7"/>
      <c r="I10" s="8"/>
      <c r="J10" s="41"/>
      <c r="K10" s="3"/>
      <c r="L10" s="3">
        <f>L9-K10</f>
        <v>5800000</v>
      </c>
      <c r="M10" s="7"/>
      <c r="N10" s="37"/>
    </row>
    <row r="11" spans="1:14" ht="15.6" x14ac:dyDescent="0.3">
      <c r="A11" s="3">
        <v>460000</v>
      </c>
      <c r="B11" s="83"/>
      <c r="C11" s="3">
        <f t="shared" si="0"/>
        <v>-920000</v>
      </c>
      <c r="D11" s="75" t="s">
        <v>210</v>
      </c>
      <c r="E11" s="8" t="s">
        <v>488</v>
      </c>
      <c r="F11" s="58"/>
      <c r="H11" s="7">
        <v>1</v>
      </c>
      <c r="I11" s="46">
        <v>45669</v>
      </c>
      <c r="J11" s="47"/>
      <c r="K11" s="4">
        <v>2500000</v>
      </c>
      <c r="L11" s="4">
        <f>L10-K11</f>
        <v>3300000</v>
      </c>
      <c r="M11" s="48" t="s">
        <v>136</v>
      </c>
      <c r="N11" s="37"/>
    </row>
    <row r="12" spans="1:14" ht="15.6" x14ac:dyDescent="0.3">
      <c r="A12" s="83">
        <v>920000</v>
      </c>
      <c r="B12" s="83"/>
      <c r="C12" s="3">
        <f t="shared" si="0"/>
        <v>0</v>
      </c>
      <c r="D12" s="57"/>
      <c r="E12" s="35">
        <v>46250</v>
      </c>
      <c r="F12" s="58"/>
      <c r="H12" s="7">
        <v>2</v>
      </c>
      <c r="I12" s="46">
        <v>46143</v>
      </c>
      <c r="J12" s="47"/>
      <c r="K12" s="4">
        <v>1000000</v>
      </c>
      <c r="L12" s="4">
        <f>L11-K12</f>
        <v>2300000</v>
      </c>
      <c r="M12" s="48" t="s">
        <v>136</v>
      </c>
      <c r="N12" s="37"/>
    </row>
    <row r="13" spans="1:14" ht="15.6" x14ac:dyDescent="0.3">
      <c r="A13" s="83"/>
      <c r="B13" s="83">
        <v>1000000</v>
      </c>
      <c r="C13" s="3">
        <f t="shared" si="0"/>
        <v>-1000000</v>
      </c>
      <c r="D13" s="57" t="s">
        <v>549</v>
      </c>
      <c r="E13" s="35">
        <v>46253</v>
      </c>
      <c r="F13" s="58"/>
      <c r="H13" s="7">
        <v>3</v>
      </c>
      <c r="I13" s="46">
        <v>46144</v>
      </c>
      <c r="J13" s="47"/>
      <c r="K13" s="4">
        <v>460000</v>
      </c>
      <c r="L13" s="4">
        <f t="shared" ref="L13:L21" si="1">L12-K13</f>
        <v>1840000</v>
      </c>
      <c r="M13" s="48" t="s">
        <v>136</v>
      </c>
      <c r="N13" s="208"/>
    </row>
    <row r="14" spans="1:14" ht="15.6" x14ac:dyDescent="0.3">
      <c r="A14" s="83">
        <v>960000</v>
      </c>
      <c r="B14" s="83"/>
      <c r="C14" s="3">
        <f t="shared" si="0"/>
        <v>-40000</v>
      </c>
      <c r="D14" s="7"/>
      <c r="E14" s="94">
        <v>46273</v>
      </c>
      <c r="F14" s="58"/>
      <c r="H14" s="7">
        <v>4</v>
      </c>
      <c r="I14" s="46">
        <v>46145</v>
      </c>
      <c r="J14" s="47"/>
      <c r="K14" s="4">
        <v>460000</v>
      </c>
      <c r="L14" s="4">
        <f t="shared" si="1"/>
        <v>1380000</v>
      </c>
      <c r="M14" s="48" t="s">
        <v>136</v>
      </c>
      <c r="N14" s="208"/>
    </row>
    <row r="15" spans="1:14" ht="15.6" x14ac:dyDescent="0.3">
      <c r="A15" s="119"/>
      <c r="B15" s="119"/>
      <c r="C15" s="3">
        <f t="shared" si="0"/>
        <v>-40000</v>
      </c>
      <c r="D15" s="120"/>
      <c r="E15" s="121"/>
      <c r="F15" s="58"/>
      <c r="H15" s="7">
        <v>5</v>
      </c>
      <c r="I15" s="46">
        <v>46146</v>
      </c>
      <c r="J15" s="47"/>
      <c r="K15" s="4">
        <v>460000</v>
      </c>
      <c r="L15" s="4">
        <f t="shared" si="1"/>
        <v>920000</v>
      </c>
      <c r="M15" s="48" t="s">
        <v>136</v>
      </c>
      <c r="N15" s="208"/>
    </row>
    <row r="16" spans="1:14" ht="15.6" x14ac:dyDescent="0.3">
      <c r="A16" s="88"/>
      <c r="B16" s="119"/>
      <c r="C16" s="3">
        <f t="shared" si="0"/>
        <v>-40000</v>
      </c>
      <c r="D16" s="120"/>
      <c r="E16" s="121"/>
      <c r="F16" s="58"/>
      <c r="H16" s="7">
        <v>6</v>
      </c>
      <c r="I16" s="8">
        <v>46147</v>
      </c>
      <c r="J16" s="41"/>
      <c r="K16" s="3">
        <v>460000</v>
      </c>
      <c r="L16" s="3">
        <f t="shared" si="1"/>
        <v>460000</v>
      </c>
      <c r="M16" s="7"/>
      <c r="N16" s="208"/>
    </row>
    <row r="17" spans="1:14" ht="15.6" x14ac:dyDescent="0.3">
      <c r="A17" s="88"/>
      <c r="B17" s="119"/>
      <c r="C17" s="3">
        <f t="shared" si="0"/>
        <v>-40000</v>
      </c>
      <c r="D17" s="120"/>
      <c r="E17" s="121"/>
      <c r="F17" s="58"/>
      <c r="H17" s="7">
        <v>7</v>
      </c>
      <c r="I17" s="8">
        <v>46148</v>
      </c>
      <c r="J17" s="41"/>
      <c r="K17" s="3">
        <v>460000</v>
      </c>
      <c r="L17" s="3">
        <f t="shared" si="1"/>
        <v>0</v>
      </c>
      <c r="M17" s="7"/>
      <c r="N17" s="208"/>
    </row>
    <row r="18" spans="1:14" ht="15.6" x14ac:dyDescent="0.3">
      <c r="A18" s="3"/>
      <c r="B18" s="3"/>
      <c r="C18" s="3">
        <f t="shared" si="0"/>
        <v>-40000</v>
      </c>
      <c r="D18" s="7"/>
      <c r="E18" s="90"/>
      <c r="F18" s="58"/>
      <c r="H18" s="7"/>
      <c r="I18" s="8"/>
      <c r="J18" s="41"/>
      <c r="K18" s="3"/>
      <c r="L18" s="3">
        <f t="shared" si="1"/>
        <v>0</v>
      </c>
      <c r="M18" s="7"/>
      <c r="N18" s="208"/>
    </row>
    <row r="19" spans="1:14" ht="15.6" x14ac:dyDescent="0.3">
      <c r="A19" s="3"/>
      <c r="B19" s="3"/>
      <c r="C19" s="3">
        <f t="shared" si="0"/>
        <v>-40000</v>
      </c>
      <c r="D19" s="91"/>
      <c r="E19" s="8"/>
      <c r="F19" s="58"/>
      <c r="H19" s="7"/>
      <c r="I19" s="8"/>
      <c r="J19" s="41"/>
      <c r="K19" s="3"/>
      <c r="L19" s="3">
        <f t="shared" si="1"/>
        <v>0</v>
      </c>
      <c r="M19" s="7"/>
      <c r="N19" s="208"/>
    </row>
    <row r="20" spans="1:14" ht="15.6" x14ac:dyDescent="0.3">
      <c r="A20" s="3"/>
      <c r="B20" s="3"/>
      <c r="C20" s="3">
        <f t="shared" si="0"/>
        <v>-40000</v>
      </c>
      <c r="D20" s="8"/>
      <c r="E20" s="8"/>
      <c r="F20" s="58"/>
      <c r="H20" s="7"/>
      <c r="I20" s="8"/>
      <c r="J20" s="41"/>
      <c r="K20" s="3"/>
      <c r="L20" s="3">
        <f t="shared" si="1"/>
        <v>0</v>
      </c>
      <c r="M20" s="7"/>
      <c r="N20" s="208"/>
    </row>
    <row r="21" spans="1:14" ht="15.6" x14ac:dyDescent="0.3">
      <c r="A21" s="3"/>
      <c r="B21" s="3"/>
      <c r="C21" s="3">
        <f t="shared" si="0"/>
        <v>-40000</v>
      </c>
      <c r="D21" s="8"/>
      <c r="E21" s="8"/>
      <c r="F21" s="58"/>
      <c r="H21" s="7"/>
      <c r="I21" s="8"/>
      <c r="J21" s="41"/>
      <c r="K21" s="3"/>
      <c r="L21" s="3">
        <f t="shared" si="1"/>
        <v>0</v>
      </c>
      <c r="M21" s="7"/>
      <c r="N21" s="208"/>
    </row>
    <row r="22" spans="1:14" ht="15.6" x14ac:dyDescent="0.3">
      <c r="A22" s="3"/>
      <c r="B22" s="3"/>
      <c r="C22" s="3">
        <f t="shared" si="0"/>
        <v>-40000</v>
      </c>
      <c r="D22" s="8"/>
      <c r="E22" s="8"/>
      <c r="F22" s="58"/>
    </row>
    <row r="23" spans="1:14" ht="15.6" x14ac:dyDescent="0.3">
      <c r="A23" s="3"/>
      <c r="B23" s="3"/>
      <c r="C23" s="3">
        <f t="shared" si="0"/>
        <v>-40000</v>
      </c>
      <c r="D23" s="8"/>
      <c r="E23" s="8"/>
      <c r="F23" s="58"/>
    </row>
    <row r="24" spans="1:14" ht="18.600000000000001" thickBot="1" x14ac:dyDescent="0.4">
      <c r="A24" s="3"/>
      <c r="B24" s="3"/>
      <c r="C24" s="3">
        <f t="shared" si="0"/>
        <v>-40000</v>
      </c>
      <c r="D24" s="8"/>
      <c r="E24" s="8"/>
      <c r="F24" s="58"/>
      <c r="J24" s="308" t="s">
        <v>445</v>
      </c>
      <c r="K24" s="308"/>
      <c r="L24" s="308"/>
    </row>
    <row r="25" spans="1:14" ht="18.600000000000001" thickTop="1" x14ac:dyDescent="0.35">
      <c r="A25" s="3"/>
      <c r="B25" s="3"/>
      <c r="C25" s="3">
        <f t="shared" si="0"/>
        <v>-40000</v>
      </c>
      <c r="D25" s="8"/>
      <c r="E25" s="8"/>
      <c r="F25" s="58"/>
      <c r="J25" s="207"/>
      <c r="K25" s="207"/>
      <c r="L25" s="207"/>
    </row>
    <row r="26" spans="1:14" ht="15.6" x14ac:dyDescent="0.3">
      <c r="A26" s="3"/>
      <c r="B26" s="3"/>
      <c r="C26" s="3">
        <f t="shared" si="0"/>
        <v>-40000</v>
      </c>
      <c r="D26" s="8"/>
      <c r="E26" s="8"/>
      <c r="F26" s="58"/>
      <c r="H26" s="211" t="s">
        <v>446</v>
      </c>
      <c r="I26" s="46" t="s">
        <v>447</v>
      </c>
      <c r="J26" s="48" t="s">
        <v>448</v>
      </c>
      <c r="K26" s="48" t="s">
        <v>449</v>
      </c>
      <c r="L26" s="48" t="s">
        <v>450</v>
      </c>
      <c r="M26" s="48" t="s">
        <v>451</v>
      </c>
      <c r="N26" s="48" t="s">
        <v>7</v>
      </c>
    </row>
    <row r="27" spans="1:14" ht="15.6" x14ac:dyDescent="0.3">
      <c r="A27" s="3"/>
      <c r="B27" s="3"/>
      <c r="C27" s="3">
        <f t="shared" si="0"/>
        <v>-40000</v>
      </c>
      <c r="D27" s="8"/>
      <c r="E27" s="8"/>
      <c r="F27" s="58"/>
      <c r="H27" s="210">
        <v>100003198840</v>
      </c>
      <c r="I27" s="94">
        <v>45728</v>
      </c>
      <c r="J27" s="94" t="s">
        <v>443</v>
      </c>
      <c r="K27" s="209">
        <v>2500000</v>
      </c>
      <c r="L27" s="7" t="s">
        <v>444</v>
      </c>
      <c r="M27" s="7" t="s">
        <v>452</v>
      </c>
      <c r="N27" s="212" t="s">
        <v>136</v>
      </c>
    </row>
    <row r="28" spans="1:14" ht="15.6" x14ac:dyDescent="0.3">
      <c r="A28" s="3"/>
      <c r="B28" s="3"/>
      <c r="C28" s="3">
        <f t="shared" si="0"/>
        <v>-40000</v>
      </c>
      <c r="D28" s="8"/>
      <c r="E28" s="8"/>
      <c r="F28" s="58"/>
      <c r="H28" s="210">
        <v>100003198841</v>
      </c>
      <c r="I28" s="94">
        <v>46143</v>
      </c>
      <c r="J28" s="94" t="s">
        <v>443</v>
      </c>
      <c r="K28" s="209">
        <v>500000</v>
      </c>
      <c r="L28" s="7" t="s">
        <v>444</v>
      </c>
      <c r="M28" s="7" t="s">
        <v>452</v>
      </c>
      <c r="N28" s="212" t="s">
        <v>136</v>
      </c>
    </row>
    <row r="29" spans="1:14" ht="15.6" x14ac:dyDescent="0.3">
      <c r="A29" s="3"/>
      <c r="B29" s="3"/>
      <c r="C29" s="3">
        <f t="shared" si="0"/>
        <v>-40000</v>
      </c>
      <c r="D29" s="7"/>
      <c r="E29" s="8"/>
      <c r="F29" s="58"/>
      <c r="H29" s="210">
        <v>100003198842</v>
      </c>
      <c r="I29" s="94">
        <v>46144</v>
      </c>
      <c r="J29" s="94" t="s">
        <v>443</v>
      </c>
      <c r="K29" s="209">
        <v>500000</v>
      </c>
      <c r="L29" s="7" t="s">
        <v>444</v>
      </c>
      <c r="M29" s="7" t="s">
        <v>452</v>
      </c>
      <c r="N29" s="212" t="s">
        <v>136</v>
      </c>
    </row>
    <row r="30" spans="1:14" ht="15.6" x14ac:dyDescent="0.3">
      <c r="A30" s="3"/>
      <c r="B30" s="3"/>
      <c r="C30" s="3">
        <f t="shared" si="0"/>
        <v>-40000</v>
      </c>
      <c r="D30" s="7"/>
      <c r="E30" s="8"/>
      <c r="F30" s="58"/>
      <c r="H30" s="210">
        <v>100003198843</v>
      </c>
      <c r="I30" s="94">
        <v>46145</v>
      </c>
      <c r="J30" s="94" t="s">
        <v>443</v>
      </c>
      <c r="K30" s="209">
        <v>500000</v>
      </c>
      <c r="L30" s="7" t="s">
        <v>444</v>
      </c>
      <c r="M30" s="7" t="s">
        <v>452</v>
      </c>
      <c r="N30" s="212" t="s">
        <v>509</v>
      </c>
    </row>
    <row r="31" spans="1:14" ht="15.6" x14ac:dyDescent="0.3">
      <c r="A31" s="3"/>
      <c r="B31" s="3"/>
      <c r="C31" s="3">
        <f t="shared" si="0"/>
        <v>-40000</v>
      </c>
      <c r="D31" s="7"/>
      <c r="E31" s="8"/>
      <c r="F31" s="58"/>
      <c r="H31" s="210">
        <v>100003198844</v>
      </c>
      <c r="I31" s="94">
        <v>46146</v>
      </c>
      <c r="J31" s="94" t="s">
        <v>443</v>
      </c>
      <c r="K31" s="209">
        <v>500000</v>
      </c>
      <c r="L31" s="7" t="s">
        <v>444</v>
      </c>
      <c r="M31" s="7" t="s">
        <v>452</v>
      </c>
      <c r="N31" s="212" t="s">
        <v>508</v>
      </c>
    </row>
    <row r="32" spans="1:14" ht="15.6" x14ac:dyDescent="0.3">
      <c r="A32" s="3"/>
      <c r="B32" s="3"/>
      <c r="C32" s="3">
        <f t="shared" si="0"/>
        <v>-40000</v>
      </c>
      <c r="D32" s="7"/>
      <c r="E32" s="8"/>
      <c r="F32" s="58"/>
      <c r="H32" s="210">
        <v>100003198845</v>
      </c>
      <c r="I32" s="94">
        <v>46147</v>
      </c>
      <c r="J32" s="94" t="s">
        <v>443</v>
      </c>
      <c r="K32" s="209">
        <v>500000</v>
      </c>
      <c r="L32" s="7" t="s">
        <v>444</v>
      </c>
      <c r="M32" s="7" t="s">
        <v>452</v>
      </c>
      <c r="N32" s="208"/>
    </row>
    <row r="33" spans="1:14" ht="15.6" x14ac:dyDescent="0.3">
      <c r="A33" s="3"/>
      <c r="B33" s="3"/>
      <c r="C33" s="3">
        <f t="shared" si="0"/>
        <v>-40000</v>
      </c>
      <c r="D33" s="7"/>
      <c r="E33" s="8"/>
      <c r="F33" s="58"/>
      <c r="H33" s="210">
        <v>100003198846</v>
      </c>
      <c r="I33" s="94">
        <v>46148</v>
      </c>
      <c r="J33" s="94" t="s">
        <v>443</v>
      </c>
      <c r="K33" s="209">
        <v>500000</v>
      </c>
      <c r="L33" s="7" t="s">
        <v>444</v>
      </c>
      <c r="M33" s="7" t="s">
        <v>452</v>
      </c>
      <c r="N33" s="208"/>
    </row>
    <row r="34" spans="1:14" ht="15.6" x14ac:dyDescent="0.3">
      <c r="A34" s="3"/>
      <c r="B34" s="3"/>
      <c r="C34" s="3">
        <f t="shared" si="0"/>
        <v>-40000</v>
      </c>
      <c r="D34" s="7"/>
      <c r="E34" s="8"/>
      <c r="F34" s="58"/>
    </row>
    <row r="35" spans="1:14" ht="15.6" x14ac:dyDescent="0.3">
      <c r="A35" s="3"/>
      <c r="B35" s="3"/>
      <c r="C35" s="3">
        <f t="shared" si="0"/>
        <v>-40000</v>
      </c>
      <c r="D35" s="7"/>
      <c r="E35" s="8"/>
      <c r="F35" s="58"/>
    </row>
    <row r="36" spans="1:14" ht="15.6" x14ac:dyDescent="0.3">
      <c r="A36" s="3"/>
      <c r="B36" s="3"/>
      <c r="C36" s="3">
        <f>IF(A36&gt;0,C35+A36-B36,C35-B36)</f>
        <v>-40000</v>
      </c>
      <c r="D36" s="7"/>
      <c r="E36" s="8"/>
      <c r="F36" s="58"/>
    </row>
    <row r="37" spans="1:14" ht="15.6" x14ac:dyDescent="0.3">
      <c r="A37" s="3"/>
      <c r="B37" s="3"/>
      <c r="C37" s="3">
        <f t="shared" si="0"/>
        <v>-40000</v>
      </c>
      <c r="D37" s="7"/>
      <c r="E37" s="8"/>
      <c r="F37" s="58"/>
    </row>
    <row r="38" spans="1:14" ht="15.6" x14ac:dyDescent="0.3">
      <c r="A38" s="3"/>
      <c r="B38" s="3"/>
      <c r="C38" s="3">
        <f t="shared" si="0"/>
        <v>-40000</v>
      </c>
      <c r="D38" s="7"/>
      <c r="E38" s="8"/>
      <c r="F38" s="58"/>
    </row>
    <row r="39" spans="1:14" ht="15.6" x14ac:dyDescent="0.3">
      <c r="A39" s="3"/>
      <c r="B39" s="3"/>
      <c r="C39" s="3">
        <f t="shared" si="0"/>
        <v>-40000</v>
      </c>
      <c r="D39" s="7"/>
      <c r="E39" s="8"/>
      <c r="F39" s="58"/>
    </row>
    <row r="40" spans="1:14" ht="15.6" x14ac:dyDescent="0.3">
      <c r="A40" s="3"/>
      <c r="B40" s="3"/>
      <c r="C40" s="3">
        <f t="shared" si="0"/>
        <v>-40000</v>
      </c>
      <c r="D40" s="7"/>
      <c r="E40" s="8"/>
      <c r="F40" s="58"/>
    </row>
    <row r="41" spans="1:14" ht="15.6" x14ac:dyDescent="0.3">
      <c r="A41" s="3"/>
      <c r="B41" s="3"/>
      <c r="C41" s="3">
        <f t="shared" si="0"/>
        <v>-40000</v>
      </c>
      <c r="D41" s="7"/>
      <c r="E41" s="8"/>
      <c r="F41" s="58"/>
    </row>
    <row r="42" spans="1:14" ht="15.6" x14ac:dyDescent="0.3">
      <c r="A42" s="3"/>
      <c r="B42" s="3"/>
      <c r="C42" s="3">
        <f t="shared" si="0"/>
        <v>-40000</v>
      </c>
      <c r="D42" s="7"/>
      <c r="E42" s="8"/>
      <c r="F42" s="58"/>
    </row>
    <row r="43" spans="1:14" ht="15.6" x14ac:dyDescent="0.3">
      <c r="A43" s="3"/>
      <c r="B43" s="3"/>
      <c r="C43" s="3">
        <f t="shared" si="0"/>
        <v>-40000</v>
      </c>
      <c r="D43" s="7"/>
      <c r="E43" s="8"/>
      <c r="F43" s="58"/>
    </row>
    <row r="44" spans="1:14" ht="15.6" x14ac:dyDescent="0.3">
      <c r="A44" s="3"/>
      <c r="B44" s="3"/>
      <c r="C44" s="3">
        <f t="shared" si="0"/>
        <v>-40000</v>
      </c>
      <c r="D44" s="7"/>
      <c r="E44" s="8"/>
      <c r="F44" s="58"/>
    </row>
    <row r="45" spans="1:14" ht="15.6" x14ac:dyDescent="0.3">
      <c r="A45" s="3"/>
      <c r="B45" s="3"/>
      <c r="C45" s="3">
        <f t="shared" si="0"/>
        <v>-40000</v>
      </c>
      <c r="D45" s="7"/>
      <c r="E45" s="8"/>
      <c r="F45" s="58"/>
    </row>
    <row r="46" spans="1:14" ht="15.6" x14ac:dyDescent="0.3">
      <c r="A46" s="3"/>
      <c r="B46" s="3"/>
      <c r="C46" s="3">
        <f t="shared" si="0"/>
        <v>-40000</v>
      </c>
      <c r="D46" s="7"/>
      <c r="E46" s="8"/>
      <c r="F46" s="58"/>
    </row>
    <row r="47" spans="1:14" ht="15.6" x14ac:dyDescent="0.3">
      <c r="A47" s="3"/>
      <c r="B47" s="3"/>
      <c r="C47" s="3">
        <f t="shared" si="0"/>
        <v>-40000</v>
      </c>
      <c r="D47" s="7"/>
      <c r="E47" s="8"/>
      <c r="F47" s="58"/>
    </row>
    <row r="48" spans="1:14" ht="15.6" x14ac:dyDescent="0.3">
      <c r="A48" s="3"/>
      <c r="B48" s="3"/>
      <c r="C48" s="3">
        <f t="shared" si="0"/>
        <v>-40000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-40000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-40000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-40000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-40000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-40000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-40000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-40000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-40000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-40000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-40000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-40000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-40000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-40000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-40000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-40000</v>
      </c>
      <c r="D63" s="7"/>
      <c r="E63" s="8"/>
      <c r="F63" s="58"/>
    </row>
    <row r="64" spans="1:6" ht="15.6" x14ac:dyDescent="0.3">
      <c r="A64" s="3"/>
      <c r="B64" s="3"/>
      <c r="C64" s="3">
        <f t="shared" si="0"/>
        <v>-40000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-40000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-40000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-40000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-40000</v>
      </c>
      <c r="D68" s="7"/>
      <c r="E68" s="8"/>
      <c r="F68" s="58"/>
    </row>
    <row r="69" spans="1:6" ht="15.6" x14ac:dyDescent="0.3">
      <c r="A69" s="3"/>
      <c r="B69" s="3"/>
      <c r="C69" s="3">
        <f t="shared" si="0"/>
        <v>-40000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-40000</v>
      </c>
      <c r="D70" s="52"/>
      <c r="E70" s="8"/>
      <c r="F70" s="58"/>
    </row>
    <row r="71" spans="1:6" ht="15.6" x14ac:dyDescent="0.3">
      <c r="A71" s="3"/>
      <c r="B71" s="3"/>
      <c r="C71" s="3">
        <f t="shared" si="0"/>
        <v>-40000</v>
      </c>
      <c r="D71" s="7"/>
      <c r="E71" s="8"/>
      <c r="F71" s="58"/>
    </row>
    <row r="72" spans="1:6" ht="15.6" x14ac:dyDescent="0.3">
      <c r="A72" s="3"/>
      <c r="B72" s="3"/>
      <c r="C72" s="3">
        <f t="shared" ref="C72:C135" si="2">IF(A72&gt;0,C71+A72-B72,C71-B72)</f>
        <v>-40000</v>
      </c>
      <c r="D72" s="7"/>
      <c r="E72" s="8"/>
      <c r="F72" s="58"/>
    </row>
    <row r="73" spans="1:6" ht="15.6" x14ac:dyDescent="0.3">
      <c r="A73" s="3"/>
      <c r="B73" s="3"/>
      <c r="C73" s="3">
        <f t="shared" si="2"/>
        <v>-40000</v>
      </c>
      <c r="D73" s="7"/>
      <c r="E73" s="8"/>
      <c r="F73" s="58"/>
    </row>
    <row r="74" spans="1:6" ht="15.6" x14ac:dyDescent="0.3">
      <c r="A74" s="3"/>
      <c r="B74" s="3"/>
      <c r="C74" s="3">
        <f t="shared" si="2"/>
        <v>-40000</v>
      </c>
      <c r="D74" s="7"/>
      <c r="E74" s="8"/>
      <c r="F74" s="58"/>
    </row>
    <row r="75" spans="1:6" ht="15.6" x14ac:dyDescent="0.3">
      <c r="A75" s="3"/>
      <c r="B75" s="3"/>
      <c r="C75" s="3">
        <f t="shared" si="2"/>
        <v>-40000</v>
      </c>
      <c r="D75" s="7"/>
      <c r="E75" s="8"/>
      <c r="F75" s="58"/>
    </row>
    <row r="76" spans="1:6" ht="15.6" x14ac:dyDescent="0.3">
      <c r="A76" s="3"/>
      <c r="B76" s="3"/>
      <c r="C76" s="3">
        <f t="shared" si="2"/>
        <v>-40000</v>
      </c>
      <c r="D76" s="7"/>
      <c r="E76" s="8"/>
      <c r="F76" s="58"/>
    </row>
    <row r="77" spans="1:6" ht="15.6" x14ac:dyDescent="0.3">
      <c r="A77" s="3"/>
      <c r="B77" s="3"/>
      <c r="C77" s="3">
        <f t="shared" si="2"/>
        <v>-40000</v>
      </c>
      <c r="D77" s="7"/>
      <c r="E77" s="8"/>
      <c r="F77" s="58"/>
    </row>
    <row r="78" spans="1:6" ht="15.6" x14ac:dyDescent="0.3">
      <c r="A78" s="3"/>
      <c r="B78" s="3"/>
      <c r="C78" s="3">
        <f t="shared" si="2"/>
        <v>-40000</v>
      </c>
      <c r="D78" s="7"/>
      <c r="E78" s="8"/>
      <c r="F78" s="58"/>
    </row>
    <row r="79" spans="1:6" ht="15.6" x14ac:dyDescent="0.3">
      <c r="A79" s="3"/>
      <c r="B79" s="3"/>
      <c r="C79" s="3">
        <f t="shared" si="2"/>
        <v>-40000</v>
      </c>
      <c r="D79" s="7"/>
      <c r="E79" s="8"/>
      <c r="F79" s="58"/>
    </row>
    <row r="80" spans="1:6" ht="15.6" x14ac:dyDescent="0.3">
      <c r="A80" s="3"/>
      <c r="B80" s="3"/>
      <c r="C80" s="3">
        <f t="shared" si="2"/>
        <v>-40000</v>
      </c>
      <c r="D80" s="7"/>
      <c r="E80" s="8"/>
      <c r="F80" s="58"/>
    </row>
    <row r="81" spans="1:6" ht="15.6" x14ac:dyDescent="0.3">
      <c r="A81" s="3"/>
      <c r="B81" s="3"/>
      <c r="C81" s="3">
        <f t="shared" si="2"/>
        <v>-40000</v>
      </c>
      <c r="D81" s="7"/>
      <c r="E81" s="8"/>
      <c r="F81" s="58"/>
    </row>
    <row r="82" spans="1:6" ht="15.6" x14ac:dyDescent="0.3">
      <c r="A82" s="3"/>
      <c r="B82" s="3"/>
      <c r="C82" s="3">
        <f t="shared" si="2"/>
        <v>-40000</v>
      </c>
      <c r="D82" s="7"/>
      <c r="E82" s="8"/>
      <c r="F82" s="58"/>
    </row>
    <row r="83" spans="1:6" ht="15.6" x14ac:dyDescent="0.3">
      <c r="A83" s="3"/>
      <c r="B83" s="3"/>
      <c r="C83" s="3">
        <f t="shared" si="2"/>
        <v>-40000</v>
      </c>
      <c r="D83" s="7"/>
      <c r="E83" s="8"/>
      <c r="F83" s="58"/>
    </row>
    <row r="84" spans="1:6" ht="15.6" x14ac:dyDescent="0.3">
      <c r="A84" s="3"/>
      <c r="B84" s="3"/>
      <c r="C84" s="3">
        <f t="shared" si="2"/>
        <v>-40000</v>
      </c>
      <c r="D84" s="7"/>
      <c r="E84" s="8"/>
      <c r="F84" s="58"/>
    </row>
    <row r="85" spans="1:6" ht="15.6" x14ac:dyDescent="0.3">
      <c r="A85" s="3"/>
      <c r="B85" s="3"/>
      <c r="C85" s="3">
        <f t="shared" si="2"/>
        <v>-40000</v>
      </c>
      <c r="D85" s="7"/>
      <c r="E85" s="8"/>
      <c r="F85" s="58"/>
    </row>
    <row r="86" spans="1:6" ht="15.6" x14ac:dyDescent="0.3">
      <c r="A86" s="3"/>
      <c r="B86" s="3"/>
      <c r="C86" s="3">
        <f t="shared" si="2"/>
        <v>-40000</v>
      </c>
      <c r="D86" s="7"/>
      <c r="E86" s="8"/>
      <c r="F86" s="58"/>
    </row>
    <row r="87" spans="1:6" ht="15.6" x14ac:dyDescent="0.3">
      <c r="A87" s="3"/>
      <c r="B87" s="3"/>
      <c r="C87" s="3">
        <f t="shared" si="2"/>
        <v>-40000</v>
      </c>
      <c r="D87" s="7"/>
      <c r="E87" s="8"/>
      <c r="F87" s="58"/>
    </row>
    <row r="88" spans="1:6" ht="15.6" x14ac:dyDescent="0.3">
      <c r="A88" s="3"/>
      <c r="B88" s="3"/>
      <c r="C88" s="3">
        <f t="shared" si="2"/>
        <v>-40000</v>
      </c>
      <c r="D88" s="7"/>
      <c r="E88" s="8"/>
      <c r="F88" s="58"/>
    </row>
    <row r="89" spans="1:6" ht="15.6" x14ac:dyDescent="0.3">
      <c r="A89" s="3"/>
      <c r="B89" s="3"/>
      <c r="C89" s="3">
        <f t="shared" si="2"/>
        <v>-40000</v>
      </c>
      <c r="D89" s="7"/>
      <c r="E89" s="8"/>
      <c r="F89" s="7"/>
    </row>
    <row r="90" spans="1:6" ht="15.6" x14ac:dyDescent="0.3">
      <c r="A90" s="3"/>
      <c r="B90" s="3"/>
      <c r="C90" s="3">
        <f t="shared" si="2"/>
        <v>-40000</v>
      </c>
      <c r="D90" s="7"/>
      <c r="E90" s="8"/>
      <c r="F90" s="7"/>
    </row>
    <row r="91" spans="1:6" ht="15.6" x14ac:dyDescent="0.3">
      <c r="A91" s="3"/>
      <c r="B91" s="3"/>
      <c r="C91" s="3">
        <f t="shared" si="2"/>
        <v>-40000</v>
      </c>
      <c r="D91" s="7"/>
      <c r="E91" s="8"/>
      <c r="F91" s="7"/>
    </row>
    <row r="92" spans="1:6" ht="15.6" x14ac:dyDescent="0.3">
      <c r="A92" s="3"/>
      <c r="B92" s="3"/>
      <c r="C92" s="3">
        <f t="shared" si="2"/>
        <v>-40000</v>
      </c>
      <c r="D92" s="7"/>
      <c r="E92" s="8"/>
      <c r="F92" s="7"/>
    </row>
    <row r="93" spans="1:6" ht="15.6" x14ac:dyDescent="0.3">
      <c r="A93" s="3"/>
      <c r="B93" s="3"/>
      <c r="C93" s="3">
        <f t="shared" si="2"/>
        <v>-40000</v>
      </c>
      <c r="D93" s="7"/>
      <c r="E93" s="8"/>
      <c r="F93" s="7"/>
    </row>
    <row r="94" spans="1:6" ht="15.6" x14ac:dyDescent="0.3">
      <c r="A94" s="3"/>
      <c r="B94" s="3"/>
      <c r="C94" s="3">
        <f t="shared" si="2"/>
        <v>-40000</v>
      </c>
      <c r="D94" s="7"/>
      <c r="E94" s="8"/>
      <c r="F94" s="7"/>
    </row>
    <row r="95" spans="1:6" ht="15.6" x14ac:dyDescent="0.3">
      <c r="A95" s="3"/>
      <c r="B95" s="3"/>
      <c r="C95" s="3">
        <f t="shared" si="2"/>
        <v>-40000</v>
      </c>
      <c r="D95" s="7"/>
      <c r="E95" s="8"/>
      <c r="F95" s="7"/>
    </row>
    <row r="96" spans="1:6" ht="15.6" x14ac:dyDescent="0.3">
      <c r="A96" s="3"/>
      <c r="B96" s="3"/>
      <c r="C96" s="3">
        <f t="shared" si="2"/>
        <v>-40000</v>
      </c>
      <c r="D96" s="7"/>
      <c r="E96" s="8"/>
      <c r="F96" s="7"/>
    </row>
    <row r="97" spans="1:6" ht="15.6" x14ac:dyDescent="0.3">
      <c r="A97" s="3"/>
      <c r="B97" s="3"/>
      <c r="C97" s="3">
        <f t="shared" si="2"/>
        <v>-40000</v>
      </c>
      <c r="D97" s="7"/>
      <c r="E97" s="8"/>
      <c r="F97" s="7"/>
    </row>
    <row r="98" spans="1:6" ht="15.6" x14ac:dyDescent="0.3">
      <c r="A98" s="3"/>
      <c r="B98" s="3"/>
      <c r="C98" s="3">
        <f t="shared" si="2"/>
        <v>-40000</v>
      </c>
      <c r="D98" s="7"/>
      <c r="E98" s="8"/>
      <c r="F98" s="7"/>
    </row>
    <row r="99" spans="1:6" ht="15.6" x14ac:dyDescent="0.3">
      <c r="A99" s="3"/>
      <c r="B99" s="3"/>
      <c r="C99" s="3">
        <f t="shared" si="2"/>
        <v>-40000</v>
      </c>
      <c r="D99" s="7"/>
      <c r="E99" s="8"/>
      <c r="F99" s="7"/>
    </row>
    <row r="100" spans="1:6" ht="15.6" x14ac:dyDescent="0.3">
      <c r="A100" s="3"/>
      <c r="B100" s="3"/>
      <c r="C100" s="3">
        <f t="shared" si="2"/>
        <v>-40000</v>
      </c>
      <c r="D100" s="7"/>
      <c r="E100" s="8"/>
      <c r="F100" s="7"/>
    </row>
    <row r="101" spans="1:6" ht="15.6" x14ac:dyDescent="0.3">
      <c r="A101" s="3"/>
      <c r="B101" s="3"/>
      <c r="C101" s="3">
        <f t="shared" si="2"/>
        <v>-40000</v>
      </c>
      <c r="D101" s="7"/>
      <c r="E101" s="8"/>
      <c r="F101" s="7"/>
    </row>
    <row r="102" spans="1:6" ht="15.6" x14ac:dyDescent="0.3">
      <c r="A102" s="3"/>
      <c r="B102" s="3"/>
      <c r="C102" s="3">
        <f t="shared" si="2"/>
        <v>-40000</v>
      </c>
      <c r="D102" s="7"/>
      <c r="E102" s="8"/>
      <c r="F102" s="7"/>
    </row>
    <row r="103" spans="1:6" ht="15.6" x14ac:dyDescent="0.3">
      <c r="A103" s="3"/>
      <c r="B103" s="3"/>
      <c r="C103" s="3">
        <f t="shared" si="2"/>
        <v>-40000</v>
      </c>
      <c r="D103" s="7"/>
      <c r="E103" s="8"/>
      <c r="F103" s="7"/>
    </row>
    <row r="104" spans="1:6" ht="15.6" x14ac:dyDescent="0.3">
      <c r="A104" s="3"/>
      <c r="B104" s="3"/>
      <c r="C104" s="3">
        <f t="shared" si="2"/>
        <v>-40000</v>
      </c>
      <c r="D104" s="7"/>
      <c r="E104" s="8"/>
      <c r="F104" s="7"/>
    </row>
    <row r="105" spans="1:6" ht="15.6" x14ac:dyDescent="0.3">
      <c r="A105" s="3"/>
      <c r="B105" s="3"/>
      <c r="C105" s="3">
        <f t="shared" si="2"/>
        <v>-40000</v>
      </c>
      <c r="D105" s="7"/>
      <c r="E105" s="8"/>
      <c r="F105" s="7"/>
    </row>
    <row r="106" spans="1:6" ht="15.6" x14ac:dyDescent="0.3">
      <c r="A106" s="3"/>
      <c r="B106" s="3"/>
      <c r="C106" s="3">
        <f t="shared" si="2"/>
        <v>-40000</v>
      </c>
      <c r="D106" s="7"/>
      <c r="E106" s="8"/>
      <c r="F106" s="7"/>
    </row>
    <row r="107" spans="1:6" ht="15.6" x14ac:dyDescent="0.3">
      <c r="A107" s="3"/>
      <c r="B107" s="3"/>
      <c r="C107" s="3">
        <f t="shared" si="2"/>
        <v>-40000</v>
      </c>
      <c r="D107" s="7"/>
      <c r="E107" s="8"/>
      <c r="F107" s="7"/>
    </row>
    <row r="108" spans="1:6" ht="15.6" x14ac:dyDescent="0.3">
      <c r="A108" s="3"/>
      <c r="B108" s="3"/>
      <c r="C108" s="3">
        <f t="shared" si="2"/>
        <v>-40000</v>
      </c>
      <c r="D108" s="7"/>
      <c r="E108" s="8"/>
      <c r="F108" s="7"/>
    </row>
    <row r="109" spans="1:6" ht="15.6" x14ac:dyDescent="0.3">
      <c r="A109" s="3"/>
      <c r="B109" s="3"/>
      <c r="C109" s="3">
        <f t="shared" si="2"/>
        <v>-40000</v>
      </c>
      <c r="D109" s="7"/>
      <c r="E109" s="8"/>
      <c r="F109" s="7"/>
    </row>
    <row r="110" spans="1:6" ht="15.6" x14ac:dyDescent="0.3">
      <c r="A110" s="3"/>
      <c r="B110" s="3"/>
      <c r="C110" s="3">
        <f t="shared" si="2"/>
        <v>-40000</v>
      </c>
      <c r="D110" s="7"/>
      <c r="E110" s="8"/>
      <c r="F110" s="7"/>
    </row>
    <row r="111" spans="1:6" ht="15.6" x14ac:dyDescent="0.3">
      <c r="A111" s="3"/>
      <c r="B111" s="3"/>
      <c r="C111" s="3">
        <f t="shared" si="2"/>
        <v>-40000</v>
      </c>
      <c r="D111" s="7"/>
      <c r="E111" s="8"/>
      <c r="F111" s="7"/>
    </row>
    <row r="112" spans="1:6" ht="15.6" x14ac:dyDescent="0.3">
      <c r="A112" s="3"/>
      <c r="B112" s="3"/>
      <c r="C112" s="3">
        <f t="shared" si="2"/>
        <v>-40000</v>
      </c>
      <c r="D112" s="7"/>
      <c r="E112" s="8"/>
      <c r="F112" s="7"/>
    </row>
    <row r="113" spans="1:6" ht="15.6" x14ac:dyDescent="0.3">
      <c r="A113" s="3"/>
      <c r="B113" s="3"/>
      <c r="C113" s="3">
        <f t="shared" si="2"/>
        <v>-40000</v>
      </c>
      <c r="D113" s="7"/>
      <c r="E113" s="8"/>
      <c r="F113" s="7"/>
    </row>
    <row r="114" spans="1:6" ht="15.6" x14ac:dyDescent="0.3">
      <c r="A114" s="3"/>
      <c r="B114" s="3"/>
      <c r="C114" s="3">
        <f t="shared" si="2"/>
        <v>-40000</v>
      </c>
      <c r="D114" s="7"/>
      <c r="E114" s="8"/>
      <c r="F114" s="7"/>
    </row>
    <row r="115" spans="1:6" ht="15.6" x14ac:dyDescent="0.3">
      <c r="A115" s="3"/>
      <c r="B115" s="3"/>
      <c r="C115" s="3">
        <f t="shared" si="2"/>
        <v>-40000</v>
      </c>
      <c r="D115" s="7"/>
      <c r="E115" s="8"/>
      <c r="F115" s="7"/>
    </row>
    <row r="116" spans="1:6" ht="15.6" x14ac:dyDescent="0.3">
      <c r="A116" s="3"/>
      <c r="B116" s="3"/>
      <c r="C116" s="3">
        <f t="shared" si="2"/>
        <v>-40000</v>
      </c>
      <c r="D116" s="7"/>
      <c r="E116" s="8"/>
      <c r="F116" s="7"/>
    </row>
    <row r="117" spans="1:6" ht="15.6" x14ac:dyDescent="0.3">
      <c r="A117" s="3"/>
      <c r="B117" s="3"/>
      <c r="C117" s="3">
        <f t="shared" si="2"/>
        <v>-40000</v>
      </c>
      <c r="D117" s="7"/>
      <c r="E117" s="8"/>
      <c r="F117" s="7"/>
    </row>
    <row r="118" spans="1:6" ht="15.6" x14ac:dyDescent="0.3">
      <c r="A118" s="3"/>
      <c r="B118" s="3"/>
      <c r="C118" s="3">
        <f t="shared" si="2"/>
        <v>-40000</v>
      </c>
      <c r="D118" s="7"/>
      <c r="E118" s="8"/>
      <c r="F118" s="7"/>
    </row>
    <row r="119" spans="1:6" ht="15.6" x14ac:dyDescent="0.3">
      <c r="A119" s="3"/>
      <c r="B119" s="3"/>
      <c r="C119" s="3">
        <f t="shared" si="2"/>
        <v>-40000</v>
      </c>
      <c r="D119" s="7"/>
      <c r="E119" s="8"/>
      <c r="F119" s="7"/>
    </row>
    <row r="120" spans="1:6" ht="15.6" x14ac:dyDescent="0.3">
      <c r="A120" s="3"/>
      <c r="B120" s="3"/>
      <c r="C120" s="3">
        <f t="shared" si="2"/>
        <v>-40000</v>
      </c>
      <c r="D120" s="7"/>
      <c r="E120" s="8"/>
      <c r="F120" s="7"/>
    </row>
    <row r="121" spans="1:6" ht="15.6" x14ac:dyDescent="0.3">
      <c r="A121" s="3"/>
      <c r="B121" s="3"/>
      <c r="C121" s="3">
        <f t="shared" si="2"/>
        <v>-40000</v>
      </c>
      <c r="D121" s="7"/>
      <c r="E121" s="8"/>
      <c r="F121" s="7"/>
    </row>
    <row r="122" spans="1:6" ht="15.6" x14ac:dyDescent="0.3">
      <c r="A122" s="3"/>
      <c r="B122" s="3"/>
      <c r="C122" s="3">
        <f t="shared" si="2"/>
        <v>-40000</v>
      </c>
      <c r="D122" s="7"/>
      <c r="E122" s="8"/>
      <c r="F122" s="7"/>
    </row>
    <row r="123" spans="1:6" ht="15.6" x14ac:dyDescent="0.3">
      <c r="A123" s="3"/>
      <c r="B123" s="3"/>
      <c r="C123" s="3">
        <f t="shared" si="2"/>
        <v>-40000</v>
      </c>
      <c r="D123" s="7"/>
      <c r="E123" s="8"/>
      <c r="F123" s="7"/>
    </row>
    <row r="124" spans="1:6" ht="15.6" x14ac:dyDescent="0.3">
      <c r="A124" s="3"/>
      <c r="B124" s="3"/>
      <c r="C124" s="3">
        <f t="shared" si="2"/>
        <v>-40000</v>
      </c>
      <c r="D124" s="7"/>
      <c r="E124" s="8"/>
      <c r="F124" s="7"/>
    </row>
    <row r="125" spans="1:6" ht="15.6" x14ac:dyDescent="0.3">
      <c r="A125" s="3"/>
      <c r="B125" s="3"/>
      <c r="C125" s="3">
        <f t="shared" si="2"/>
        <v>-40000</v>
      </c>
      <c r="D125" s="7"/>
      <c r="E125" s="8"/>
      <c r="F125" s="7"/>
    </row>
    <row r="126" spans="1:6" ht="15.6" x14ac:dyDescent="0.3">
      <c r="A126" s="3"/>
      <c r="B126" s="3"/>
      <c r="C126" s="3">
        <f t="shared" si="2"/>
        <v>-40000</v>
      </c>
      <c r="D126" s="7"/>
      <c r="E126" s="8"/>
      <c r="F126" s="7"/>
    </row>
    <row r="127" spans="1:6" ht="15.6" x14ac:dyDescent="0.3">
      <c r="A127" s="3"/>
      <c r="B127" s="3"/>
      <c r="C127" s="3">
        <f t="shared" si="2"/>
        <v>-40000</v>
      </c>
      <c r="D127" s="7"/>
      <c r="E127" s="8"/>
      <c r="F127" s="7"/>
    </row>
    <row r="128" spans="1:6" ht="15.6" x14ac:dyDescent="0.3">
      <c r="A128" s="3"/>
      <c r="B128" s="3"/>
      <c r="C128" s="3">
        <f t="shared" si="2"/>
        <v>-40000</v>
      </c>
      <c r="D128" s="7"/>
      <c r="E128" s="8"/>
      <c r="F128" s="7"/>
    </row>
    <row r="129" spans="1:6" ht="15.6" x14ac:dyDescent="0.3">
      <c r="A129" s="3"/>
      <c r="B129" s="3"/>
      <c r="C129" s="3">
        <f t="shared" si="2"/>
        <v>-40000</v>
      </c>
      <c r="D129" s="7"/>
      <c r="E129" s="8"/>
      <c r="F129" s="7"/>
    </row>
    <row r="130" spans="1:6" ht="15.6" x14ac:dyDescent="0.3">
      <c r="A130" s="3"/>
      <c r="B130" s="3"/>
      <c r="C130" s="3">
        <f t="shared" si="2"/>
        <v>-40000</v>
      </c>
      <c r="D130" s="7"/>
      <c r="E130" s="8"/>
      <c r="F130" s="7"/>
    </row>
    <row r="131" spans="1:6" ht="15.6" x14ac:dyDescent="0.3">
      <c r="A131" s="3"/>
      <c r="B131" s="3"/>
      <c r="C131" s="3">
        <f t="shared" si="2"/>
        <v>-40000</v>
      </c>
      <c r="D131" s="7"/>
      <c r="E131" s="8"/>
      <c r="F131" s="7"/>
    </row>
    <row r="132" spans="1:6" ht="15.6" x14ac:dyDescent="0.3">
      <c r="A132" s="3"/>
      <c r="B132" s="3"/>
      <c r="C132" s="3">
        <f t="shared" si="2"/>
        <v>-40000</v>
      </c>
      <c r="D132" s="7"/>
      <c r="E132" s="8"/>
      <c r="F132" s="7"/>
    </row>
    <row r="133" spans="1:6" ht="15.6" x14ac:dyDescent="0.3">
      <c r="A133" s="3"/>
      <c r="B133" s="3"/>
      <c r="C133" s="3">
        <f t="shared" si="2"/>
        <v>-40000</v>
      </c>
      <c r="D133" s="7"/>
      <c r="E133" s="8"/>
      <c r="F133" s="7"/>
    </row>
    <row r="134" spans="1:6" ht="15.6" x14ac:dyDescent="0.3">
      <c r="A134" s="3"/>
      <c r="B134" s="3"/>
      <c r="C134" s="3">
        <f t="shared" si="2"/>
        <v>-40000</v>
      </c>
      <c r="D134" s="7"/>
      <c r="E134" s="8"/>
      <c r="F134" s="7"/>
    </row>
    <row r="135" spans="1:6" ht="15.6" x14ac:dyDescent="0.3">
      <c r="A135" s="3"/>
      <c r="B135" s="3"/>
      <c r="C135" s="3">
        <f t="shared" si="2"/>
        <v>-40000</v>
      </c>
      <c r="D135" s="7"/>
      <c r="E135" s="8"/>
      <c r="F135" s="7"/>
    </row>
    <row r="136" spans="1:6" ht="15.6" x14ac:dyDescent="0.3">
      <c r="A136" s="3"/>
      <c r="B136" s="3"/>
      <c r="C136" s="3">
        <f t="shared" ref="C136:C152" si="3">IF(A136&gt;0,C135+A136-B136,C135-B136)</f>
        <v>-40000</v>
      </c>
      <c r="D136" s="7"/>
      <c r="E136" s="8"/>
      <c r="F136" s="7"/>
    </row>
    <row r="137" spans="1:6" ht="15.6" x14ac:dyDescent="0.3">
      <c r="A137" s="3"/>
      <c r="B137" s="3"/>
      <c r="C137" s="3">
        <f t="shared" si="3"/>
        <v>-40000</v>
      </c>
      <c r="D137" s="7"/>
      <c r="E137" s="8"/>
      <c r="F137" s="7"/>
    </row>
    <row r="138" spans="1:6" ht="15.6" x14ac:dyDescent="0.3">
      <c r="A138" s="3"/>
      <c r="B138" s="3"/>
      <c r="C138" s="3">
        <f t="shared" si="3"/>
        <v>-40000</v>
      </c>
      <c r="D138" s="7"/>
      <c r="E138" s="8"/>
      <c r="F138" s="7"/>
    </row>
    <row r="139" spans="1:6" ht="15.6" x14ac:dyDescent="0.3">
      <c r="A139" s="3"/>
      <c r="B139" s="3"/>
      <c r="C139" s="3">
        <f t="shared" si="3"/>
        <v>-40000</v>
      </c>
      <c r="D139" s="7"/>
      <c r="E139" s="8"/>
      <c r="F139" s="7"/>
    </row>
    <row r="140" spans="1:6" ht="15.6" x14ac:dyDescent="0.3">
      <c r="A140" s="3"/>
      <c r="B140" s="3"/>
      <c r="C140" s="3">
        <f t="shared" si="3"/>
        <v>-40000</v>
      </c>
      <c r="D140" s="7"/>
      <c r="E140" s="8"/>
      <c r="F140" s="7"/>
    </row>
    <row r="141" spans="1:6" ht="15.6" x14ac:dyDescent="0.3">
      <c r="A141" s="3"/>
      <c r="B141" s="3"/>
      <c r="C141" s="3">
        <f t="shared" si="3"/>
        <v>-40000</v>
      </c>
      <c r="D141" s="7"/>
      <c r="E141" s="8"/>
      <c r="F141" s="7"/>
    </row>
    <row r="142" spans="1:6" ht="15.6" x14ac:dyDescent="0.3">
      <c r="A142" s="3"/>
      <c r="B142" s="3"/>
      <c r="C142" s="3">
        <f t="shared" si="3"/>
        <v>-40000</v>
      </c>
      <c r="D142" s="7"/>
      <c r="E142" s="8"/>
      <c r="F142" s="7"/>
    </row>
    <row r="143" spans="1:6" ht="15.6" x14ac:dyDescent="0.3">
      <c r="A143" s="3"/>
      <c r="B143" s="3"/>
      <c r="C143" s="3">
        <f t="shared" si="3"/>
        <v>-40000</v>
      </c>
      <c r="D143" s="7"/>
      <c r="E143" s="8"/>
      <c r="F143" s="7"/>
    </row>
    <row r="144" spans="1:6" ht="15.6" x14ac:dyDescent="0.3">
      <c r="A144" s="3"/>
      <c r="B144" s="3"/>
      <c r="C144" s="3">
        <f t="shared" si="3"/>
        <v>-40000</v>
      </c>
      <c r="D144" s="7"/>
      <c r="E144" s="8"/>
      <c r="F144" s="7"/>
    </row>
    <row r="145" spans="1:6" ht="15.6" x14ac:dyDescent="0.3">
      <c r="A145" s="3"/>
      <c r="B145" s="3"/>
      <c r="C145" s="3">
        <f t="shared" si="3"/>
        <v>-40000</v>
      </c>
      <c r="D145" s="7"/>
      <c r="E145" s="8"/>
      <c r="F145" s="7"/>
    </row>
    <row r="146" spans="1:6" ht="15.6" x14ac:dyDescent="0.3">
      <c r="A146" s="3"/>
      <c r="B146" s="3"/>
      <c r="C146" s="3">
        <f t="shared" si="3"/>
        <v>-40000</v>
      </c>
      <c r="D146" s="7"/>
      <c r="E146" s="8"/>
      <c r="F146" s="7"/>
    </row>
    <row r="147" spans="1:6" ht="15.6" x14ac:dyDescent="0.3">
      <c r="A147" s="3"/>
      <c r="B147" s="3"/>
      <c r="C147" s="3">
        <f t="shared" si="3"/>
        <v>-40000</v>
      </c>
      <c r="D147" s="7"/>
      <c r="E147" s="8"/>
      <c r="F147" s="7"/>
    </row>
    <row r="148" spans="1:6" ht="15.6" x14ac:dyDescent="0.3">
      <c r="A148" s="3"/>
      <c r="B148" s="3"/>
      <c r="C148" s="3">
        <f t="shared" si="3"/>
        <v>-40000</v>
      </c>
      <c r="D148" s="7"/>
      <c r="E148" s="8"/>
      <c r="F148" s="7"/>
    </row>
    <row r="149" spans="1:6" ht="15.6" x14ac:dyDescent="0.3">
      <c r="A149" s="3"/>
      <c r="B149" s="3"/>
      <c r="C149" s="3">
        <f t="shared" si="3"/>
        <v>-40000</v>
      </c>
      <c r="D149" s="7"/>
      <c r="E149" s="8"/>
      <c r="F149" s="7"/>
    </row>
    <row r="150" spans="1:6" ht="15.6" x14ac:dyDescent="0.3">
      <c r="A150" s="3"/>
      <c r="B150" s="3"/>
      <c r="C150" s="3">
        <f t="shared" si="3"/>
        <v>-40000</v>
      </c>
      <c r="D150" s="7"/>
      <c r="E150" s="8"/>
      <c r="F150" s="7"/>
    </row>
    <row r="151" spans="1:6" ht="15.6" x14ac:dyDescent="0.3">
      <c r="A151" s="3"/>
      <c r="B151" s="3"/>
      <c r="C151" s="3">
        <f t="shared" si="3"/>
        <v>-40000</v>
      </c>
      <c r="D151" s="7"/>
      <c r="E151" s="8"/>
      <c r="F151" s="7"/>
    </row>
    <row r="152" spans="1:6" ht="15.6" x14ac:dyDescent="0.3">
      <c r="A152" s="3"/>
      <c r="B152" s="3"/>
      <c r="C152" s="3">
        <f t="shared" si="3"/>
        <v>-40000</v>
      </c>
      <c r="D152" s="7"/>
      <c r="E152" s="8"/>
      <c r="F152" s="7"/>
    </row>
  </sheetData>
  <mergeCells count="4">
    <mergeCell ref="A3:C3"/>
    <mergeCell ref="K7:M7"/>
    <mergeCell ref="J24:L24"/>
    <mergeCell ref="D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50"/>
  <sheetViews>
    <sheetView rightToLeft="1" zoomScaleNormal="100" workbookViewId="0">
      <pane ySplit="5" topLeftCell="A6" activePane="bottomLeft" state="frozen"/>
      <selection pane="bottomLeft" activeCell="D16" sqref="D16"/>
    </sheetView>
  </sheetViews>
  <sheetFormatPr defaultColWidth="9" defaultRowHeight="14.4" x14ac:dyDescent="0.3"/>
  <cols>
    <col min="1" max="1" width="12.5546875" customWidth="1"/>
    <col min="2" max="2" width="12.88671875" customWidth="1"/>
    <col min="3" max="3" width="12.6640625" bestFit="1" customWidth="1"/>
    <col min="4" max="4" width="36.6640625" bestFit="1" customWidth="1"/>
    <col min="5" max="5" width="20.44140625" bestFit="1" customWidth="1"/>
    <col min="8" max="8" width="9" customWidth="1"/>
    <col min="9" max="9" width="12.109375" bestFit="1" customWidth="1"/>
    <col min="10" max="10" width="18.5546875" bestFit="1" customWidth="1"/>
    <col min="11" max="11" width="17.44140625" bestFit="1" customWidth="1"/>
    <col min="12" max="12" width="10.109375" bestFit="1" customWidth="1"/>
    <col min="13" max="13" width="30.33203125" bestFit="1" customWidth="1"/>
    <col min="14" max="14" width="15.6640625" bestFit="1" customWidth="1"/>
  </cols>
  <sheetData>
    <row r="1" spans="1:14" ht="15.6" x14ac:dyDescent="0.3">
      <c r="A1" s="1"/>
      <c r="B1" s="1"/>
      <c r="C1" s="1"/>
      <c r="D1" s="1"/>
      <c r="E1" s="2"/>
      <c r="F1" s="1"/>
    </row>
    <row r="2" spans="1:14" ht="15.6" x14ac:dyDescent="0.3">
      <c r="A2" s="3">
        <f>SUBTOTAL(9,A5:A150)</f>
        <v>5780000</v>
      </c>
      <c r="B2" s="3">
        <f>SUBTOTAL(9,B5:B150)</f>
        <v>11300000</v>
      </c>
      <c r="C2" s="3">
        <f>A2-B2</f>
        <v>-5520000</v>
      </c>
      <c r="D2" s="1"/>
      <c r="E2" s="2"/>
      <c r="F2" s="1"/>
    </row>
    <row r="3" spans="1:14" ht="29.25" customHeight="1" x14ac:dyDescent="0.3">
      <c r="A3" s="6" t="s">
        <v>211</v>
      </c>
      <c r="B3" s="6"/>
      <c r="C3" s="6"/>
      <c r="D3" s="5" t="s">
        <v>212</v>
      </c>
      <c r="E3" s="6"/>
      <c r="F3" s="6"/>
    </row>
    <row r="4" spans="1:14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  <c r="K4" s="264">
        <f>J9-6210000</f>
        <v>5070000</v>
      </c>
    </row>
    <row r="5" spans="1:14" ht="0.75" customHeight="1" x14ac:dyDescent="0.3">
      <c r="A5" s="7"/>
      <c r="B5" s="7"/>
      <c r="C5" s="7">
        <v>0</v>
      </c>
      <c r="D5" s="7"/>
      <c r="E5" s="8"/>
      <c r="F5" s="7"/>
    </row>
    <row r="6" spans="1:14" ht="15.6" x14ac:dyDescent="0.3">
      <c r="A6" s="122"/>
      <c r="B6" s="4">
        <f>4000000</f>
        <v>4000000</v>
      </c>
      <c r="C6" s="4">
        <f>IF(A6&gt;0,C5+A6-B6,C5-B6)</f>
        <v>-4000000</v>
      </c>
      <c r="D6" s="81" t="s">
        <v>213</v>
      </c>
      <c r="E6" s="82">
        <v>45931</v>
      </c>
      <c r="F6" s="58"/>
    </row>
    <row r="7" spans="1:14" ht="15.6" x14ac:dyDescent="0.3">
      <c r="A7" s="122"/>
      <c r="B7" s="4">
        <f>4000000</f>
        <v>4000000</v>
      </c>
      <c r="C7" s="4">
        <f t="shared" ref="C7:C70" si="0">IF(A7&gt;0,C6+A7-B7,C6-B7)</f>
        <v>-8000000</v>
      </c>
      <c r="D7" s="81" t="s">
        <v>214</v>
      </c>
      <c r="E7" s="82">
        <v>45931</v>
      </c>
      <c r="F7" s="58"/>
      <c r="H7" s="6"/>
      <c r="I7" s="5" t="s">
        <v>37</v>
      </c>
      <c r="J7" s="6" t="s">
        <v>219</v>
      </c>
      <c r="K7" s="273" t="s">
        <v>220</v>
      </c>
      <c r="L7" s="274"/>
      <c r="M7" s="275"/>
      <c r="N7" s="5" t="s">
        <v>7</v>
      </c>
    </row>
    <row r="8" spans="1:14" ht="15.6" x14ac:dyDescent="0.3">
      <c r="A8" s="64"/>
      <c r="B8" s="4">
        <v>3300000</v>
      </c>
      <c r="C8" s="4">
        <f t="shared" si="0"/>
        <v>-11300000</v>
      </c>
      <c r="D8" s="81" t="s">
        <v>215</v>
      </c>
      <c r="E8" s="82">
        <v>45931</v>
      </c>
      <c r="F8" s="58"/>
      <c r="H8" s="7" t="s">
        <v>40</v>
      </c>
      <c r="I8" s="7" t="s">
        <v>6</v>
      </c>
      <c r="J8" s="41" t="s">
        <v>41</v>
      </c>
      <c r="K8" s="41" t="s">
        <v>42</v>
      </c>
      <c r="L8" s="7" t="s">
        <v>43</v>
      </c>
      <c r="M8" s="7" t="s">
        <v>7</v>
      </c>
      <c r="N8" s="37" t="s">
        <v>510</v>
      </c>
    </row>
    <row r="9" spans="1:14" ht="15.6" x14ac:dyDescent="0.3">
      <c r="A9" s="36">
        <v>1500000</v>
      </c>
      <c r="B9" s="86"/>
      <c r="C9" s="3">
        <f t="shared" si="0"/>
        <v>-9800000</v>
      </c>
      <c r="D9" s="75" t="s">
        <v>216</v>
      </c>
      <c r="E9" s="35">
        <v>45979.0688000347</v>
      </c>
      <c r="F9" s="58"/>
      <c r="H9" s="7"/>
      <c r="I9" s="7"/>
      <c r="J9" s="41">
        <f>4000000+4000000+3300000-20000</f>
        <v>11280000</v>
      </c>
      <c r="K9" s="41"/>
      <c r="L9" s="7">
        <f>J9-K9</f>
        <v>11280000</v>
      </c>
      <c r="M9" s="7" t="s">
        <v>512</v>
      </c>
      <c r="N9" s="37" t="s">
        <v>513</v>
      </c>
    </row>
    <row r="10" spans="1:14" ht="15.6" x14ac:dyDescent="0.3">
      <c r="A10" s="36">
        <v>20000</v>
      </c>
      <c r="B10" s="86"/>
      <c r="C10" s="3">
        <f t="shared" si="0"/>
        <v>-9780000</v>
      </c>
      <c r="D10" s="75" t="s">
        <v>218</v>
      </c>
      <c r="E10" s="35">
        <v>45982.693263888897</v>
      </c>
      <c r="F10" s="58"/>
      <c r="H10" s="7"/>
      <c r="I10" s="46"/>
      <c r="J10" s="47"/>
      <c r="K10" s="47">
        <v>3000000</v>
      </c>
      <c r="L10" s="48">
        <f>L9-K10</f>
        <v>8280000</v>
      </c>
      <c r="M10" s="48" t="s">
        <v>221</v>
      </c>
      <c r="N10" s="37"/>
    </row>
    <row r="11" spans="1:14" ht="15.6" x14ac:dyDescent="0.3">
      <c r="A11" s="36">
        <v>1500000</v>
      </c>
      <c r="B11" s="86"/>
      <c r="C11" s="3">
        <f t="shared" si="0"/>
        <v>-8280000</v>
      </c>
      <c r="D11" s="75" t="s">
        <v>217</v>
      </c>
      <c r="E11" s="35">
        <v>45987.7651273148</v>
      </c>
      <c r="F11" s="58"/>
      <c r="H11" s="7">
        <v>1</v>
      </c>
      <c r="I11" s="46">
        <v>46296</v>
      </c>
      <c r="J11" s="47"/>
      <c r="K11" s="47">
        <v>690000</v>
      </c>
      <c r="L11" s="48">
        <f>L10-K11</f>
        <v>7590000</v>
      </c>
      <c r="M11" s="48" t="s">
        <v>136</v>
      </c>
      <c r="N11" s="37"/>
    </row>
    <row r="12" spans="1:14" ht="15.6" x14ac:dyDescent="0.3">
      <c r="A12" s="85">
        <v>690000</v>
      </c>
      <c r="B12" s="86"/>
      <c r="C12" s="3">
        <f t="shared" si="0"/>
        <v>-7590000</v>
      </c>
      <c r="D12" s="69" t="s">
        <v>28</v>
      </c>
      <c r="E12" s="35">
        <v>45671.765127314815</v>
      </c>
      <c r="F12" s="58"/>
      <c r="H12" s="7">
        <v>2</v>
      </c>
      <c r="I12" s="46">
        <v>46297</v>
      </c>
      <c r="J12" s="47"/>
      <c r="K12" s="47">
        <v>690000</v>
      </c>
      <c r="L12" s="48">
        <f>L11-K12</f>
        <v>6900000</v>
      </c>
      <c r="M12" s="48" t="s">
        <v>136</v>
      </c>
      <c r="N12" s="37"/>
    </row>
    <row r="13" spans="1:14" ht="15.6" x14ac:dyDescent="0.3">
      <c r="A13" s="85">
        <v>690000</v>
      </c>
      <c r="B13" s="86"/>
      <c r="C13" s="3">
        <f t="shared" si="0"/>
        <v>-6900000</v>
      </c>
      <c r="D13" s="69" t="s">
        <v>28</v>
      </c>
      <c r="E13" s="35">
        <v>46273</v>
      </c>
      <c r="F13" s="58"/>
      <c r="H13" s="7">
        <v>3</v>
      </c>
      <c r="I13" s="46">
        <v>46298</v>
      </c>
      <c r="J13" s="47"/>
      <c r="K13" s="47">
        <v>690000</v>
      </c>
      <c r="L13" s="48">
        <f t="shared" ref="L13:L24" si="1">L12-K13</f>
        <v>6210000</v>
      </c>
      <c r="M13" s="48" t="s">
        <v>136</v>
      </c>
      <c r="N13" s="208"/>
    </row>
    <row r="14" spans="1:14" ht="15.6" x14ac:dyDescent="0.3">
      <c r="A14" s="123">
        <v>690000</v>
      </c>
      <c r="B14" s="88"/>
      <c r="C14" s="3">
        <f t="shared" si="0"/>
        <v>-6210000</v>
      </c>
      <c r="D14" s="69" t="s">
        <v>28</v>
      </c>
      <c r="E14" s="73">
        <v>46281</v>
      </c>
      <c r="F14" s="58"/>
      <c r="H14" s="7">
        <v>4</v>
      </c>
      <c r="I14" s="8">
        <v>46299</v>
      </c>
      <c r="J14" s="41"/>
      <c r="K14" s="41">
        <v>690000</v>
      </c>
      <c r="L14" s="7">
        <f t="shared" si="1"/>
        <v>5520000</v>
      </c>
      <c r="M14" s="52"/>
      <c r="N14" s="208"/>
    </row>
    <row r="15" spans="1:14" ht="15.6" x14ac:dyDescent="0.3">
      <c r="A15" s="123">
        <v>690000</v>
      </c>
      <c r="B15" s="88"/>
      <c r="C15" s="3">
        <f t="shared" si="0"/>
        <v>-5520000</v>
      </c>
      <c r="D15" s="89" t="s">
        <v>536</v>
      </c>
      <c r="E15" s="73">
        <v>46308</v>
      </c>
      <c r="F15" s="58"/>
      <c r="H15" s="7">
        <v>5</v>
      </c>
      <c r="I15" s="8">
        <v>46300</v>
      </c>
      <c r="J15" s="41"/>
      <c r="K15" s="41">
        <v>690000</v>
      </c>
      <c r="L15" s="7">
        <f t="shared" si="1"/>
        <v>4830000</v>
      </c>
      <c r="M15" s="7"/>
      <c r="N15" s="208"/>
    </row>
    <row r="16" spans="1:14" ht="15.6" x14ac:dyDescent="0.3">
      <c r="A16" s="123"/>
      <c r="B16" s="88"/>
      <c r="C16" s="3">
        <f t="shared" si="0"/>
        <v>-5520000</v>
      </c>
      <c r="D16" s="89"/>
      <c r="E16" s="73"/>
      <c r="F16" s="58"/>
      <c r="H16" s="7">
        <v>6</v>
      </c>
      <c r="I16" s="8">
        <v>46301</v>
      </c>
      <c r="J16" s="41"/>
      <c r="K16" s="41">
        <v>690000</v>
      </c>
      <c r="L16" s="7">
        <f t="shared" si="1"/>
        <v>4140000</v>
      </c>
      <c r="M16" s="7"/>
      <c r="N16" s="208"/>
    </row>
    <row r="17" spans="1:14" ht="15.6" x14ac:dyDescent="0.3">
      <c r="A17" s="3"/>
      <c r="B17" s="3"/>
      <c r="C17" s="3">
        <f t="shared" si="0"/>
        <v>-5520000</v>
      </c>
      <c r="D17" s="7"/>
      <c r="E17" s="90"/>
      <c r="F17" s="58"/>
      <c r="H17" s="7">
        <v>7</v>
      </c>
      <c r="I17" s="8">
        <v>46302</v>
      </c>
      <c r="J17" s="41"/>
      <c r="K17" s="41">
        <v>690000</v>
      </c>
      <c r="L17" s="7">
        <f t="shared" si="1"/>
        <v>3450000</v>
      </c>
      <c r="M17" s="7"/>
      <c r="N17" s="208"/>
    </row>
    <row r="18" spans="1:14" ht="15.6" x14ac:dyDescent="0.3">
      <c r="A18" s="3"/>
      <c r="B18" s="3"/>
      <c r="C18" s="3">
        <f t="shared" si="0"/>
        <v>-5520000</v>
      </c>
      <c r="D18" s="91"/>
      <c r="E18" s="8"/>
      <c r="F18" s="58"/>
      <c r="H18" s="7">
        <v>8</v>
      </c>
      <c r="I18" s="8">
        <v>46303</v>
      </c>
      <c r="J18" s="41"/>
      <c r="K18" s="41">
        <v>690000</v>
      </c>
      <c r="L18" s="7">
        <f t="shared" si="1"/>
        <v>2760000</v>
      </c>
      <c r="M18" s="7"/>
      <c r="N18" s="208"/>
    </row>
    <row r="19" spans="1:14" ht="15.6" x14ac:dyDescent="0.3">
      <c r="A19" s="3"/>
      <c r="B19" s="3"/>
      <c r="C19" s="3">
        <f t="shared" si="0"/>
        <v>-5520000</v>
      </c>
      <c r="D19" s="8"/>
      <c r="E19" s="8"/>
      <c r="F19" s="58"/>
      <c r="H19" s="7">
        <v>9</v>
      </c>
      <c r="I19" s="8">
        <v>46304</v>
      </c>
      <c r="J19" s="41"/>
      <c r="K19" s="41">
        <v>690000</v>
      </c>
      <c r="L19" s="7">
        <f t="shared" si="1"/>
        <v>2070000</v>
      </c>
      <c r="M19" s="7"/>
      <c r="N19" s="208"/>
    </row>
    <row r="20" spans="1:14" ht="15.6" x14ac:dyDescent="0.3">
      <c r="A20" s="3"/>
      <c r="B20" s="3"/>
      <c r="C20" s="3">
        <f t="shared" si="0"/>
        <v>-5520000</v>
      </c>
      <c r="D20" s="8"/>
      <c r="E20" s="8"/>
      <c r="F20" s="58"/>
      <c r="H20" s="7">
        <v>10</v>
      </c>
      <c r="I20" s="8">
        <v>46305</v>
      </c>
      <c r="J20" s="41"/>
      <c r="K20" s="41">
        <v>690000</v>
      </c>
      <c r="L20" s="7">
        <f t="shared" si="1"/>
        <v>1380000</v>
      </c>
      <c r="M20" s="7"/>
      <c r="N20" s="208"/>
    </row>
    <row r="21" spans="1:14" ht="15.6" x14ac:dyDescent="0.3">
      <c r="A21" s="3"/>
      <c r="B21" s="3"/>
      <c r="C21" s="3">
        <f t="shared" si="0"/>
        <v>-5520000</v>
      </c>
      <c r="D21" s="8"/>
      <c r="E21" s="8"/>
      <c r="F21" s="58"/>
      <c r="H21" s="7">
        <v>11</v>
      </c>
      <c r="I21" s="8">
        <v>46306</v>
      </c>
      <c r="J21" s="41"/>
      <c r="K21" s="41">
        <v>690000</v>
      </c>
      <c r="L21" s="7">
        <f t="shared" si="1"/>
        <v>690000</v>
      </c>
      <c r="M21" s="7"/>
      <c r="N21" s="208"/>
    </row>
    <row r="22" spans="1:14" ht="15.6" x14ac:dyDescent="0.3">
      <c r="A22" s="3"/>
      <c r="B22" s="3"/>
      <c r="C22" s="3">
        <f t="shared" si="0"/>
        <v>-5520000</v>
      </c>
      <c r="D22" s="8"/>
      <c r="E22" s="8"/>
      <c r="F22" s="58"/>
      <c r="H22" s="7">
        <v>12</v>
      </c>
      <c r="I22" s="8">
        <v>46307</v>
      </c>
      <c r="J22" s="41"/>
      <c r="K22" s="41">
        <v>690000</v>
      </c>
      <c r="L22" s="7">
        <f t="shared" si="1"/>
        <v>0</v>
      </c>
      <c r="M22" s="7"/>
      <c r="N22" s="208"/>
    </row>
    <row r="23" spans="1:14" ht="15.6" x14ac:dyDescent="0.3">
      <c r="A23" s="3"/>
      <c r="B23" s="3"/>
      <c r="C23" s="3">
        <f t="shared" si="0"/>
        <v>-5520000</v>
      </c>
      <c r="D23" s="8"/>
      <c r="E23" s="8"/>
      <c r="F23" s="58"/>
      <c r="H23" s="7"/>
      <c r="I23" s="8"/>
      <c r="J23" s="41"/>
      <c r="K23" s="41"/>
      <c r="L23" s="7">
        <f t="shared" si="1"/>
        <v>0</v>
      </c>
      <c r="M23" s="7"/>
      <c r="N23" s="208"/>
    </row>
    <row r="24" spans="1:14" ht="15.6" x14ac:dyDescent="0.3">
      <c r="A24" s="3"/>
      <c r="B24" s="3"/>
      <c r="C24" s="3">
        <f t="shared" si="0"/>
        <v>-5520000</v>
      </c>
      <c r="D24" s="8"/>
      <c r="E24" s="8"/>
      <c r="F24" s="58"/>
      <c r="H24" s="7"/>
      <c r="I24" s="8"/>
      <c r="J24" s="41"/>
      <c r="K24" s="41"/>
      <c r="L24" s="7">
        <f t="shared" si="1"/>
        <v>0</v>
      </c>
      <c r="M24" s="7"/>
      <c r="N24" s="208"/>
    </row>
    <row r="25" spans="1:14" ht="15.6" x14ac:dyDescent="0.3">
      <c r="A25" s="3"/>
      <c r="B25" s="3"/>
      <c r="C25" s="3">
        <f t="shared" si="0"/>
        <v>-5520000</v>
      </c>
      <c r="D25" s="8"/>
      <c r="E25" s="8"/>
      <c r="F25" s="58"/>
    </row>
    <row r="26" spans="1:14" ht="15.6" x14ac:dyDescent="0.3">
      <c r="A26" s="3"/>
      <c r="B26" s="3"/>
      <c r="C26" s="3">
        <f t="shared" si="0"/>
        <v>-5520000</v>
      </c>
      <c r="D26" s="8"/>
      <c r="E26" s="8"/>
      <c r="F26" s="58"/>
    </row>
    <row r="27" spans="1:14" ht="15.6" x14ac:dyDescent="0.3">
      <c r="A27" s="3"/>
      <c r="B27" s="3"/>
      <c r="C27" s="3">
        <f t="shared" si="0"/>
        <v>-5520000</v>
      </c>
      <c r="D27" s="7"/>
      <c r="E27" s="8"/>
      <c r="F27" s="58"/>
    </row>
    <row r="28" spans="1:14" ht="15.6" x14ac:dyDescent="0.3">
      <c r="A28" s="3"/>
      <c r="B28" s="3"/>
      <c r="C28" s="3">
        <f t="shared" si="0"/>
        <v>-5520000</v>
      </c>
      <c r="D28" s="7"/>
      <c r="E28" s="8"/>
      <c r="F28" s="58"/>
    </row>
    <row r="29" spans="1:14" ht="15.6" x14ac:dyDescent="0.3">
      <c r="A29" s="3"/>
      <c r="B29" s="3"/>
      <c r="C29" s="3">
        <f>IF(A29&gt;0,C28+A29-B29,C28-B29)</f>
        <v>-5520000</v>
      </c>
      <c r="D29" s="7"/>
      <c r="E29" s="8"/>
      <c r="F29" s="58"/>
    </row>
    <row r="30" spans="1:14" ht="15.6" x14ac:dyDescent="0.3">
      <c r="A30" s="3"/>
      <c r="B30" s="3"/>
      <c r="C30" s="3">
        <f t="shared" si="0"/>
        <v>-5520000</v>
      </c>
      <c r="D30" s="7"/>
      <c r="E30" s="8"/>
      <c r="F30" s="58"/>
    </row>
    <row r="31" spans="1:14" ht="15.6" x14ac:dyDescent="0.3">
      <c r="A31" s="3"/>
      <c r="B31" s="3"/>
      <c r="C31" s="3">
        <f t="shared" si="0"/>
        <v>-5520000</v>
      </c>
      <c r="D31" s="7"/>
      <c r="E31" s="8"/>
      <c r="F31" s="58"/>
    </row>
    <row r="32" spans="1:14" ht="15.6" x14ac:dyDescent="0.3">
      <c r="A32" s="3"/>
      <c r="B32" s="3"/>
      <c r="C32" s="3">
        <f t="shared" si="0"/>
        <v>-5520000</v>
      </c>
      <c r="D32" s="7"/>
      <c r="E32" s="8"/>
      <c r="F32" s="58"/>
    </row>
    <row r="33" spans="1:6" ht="15.6" x14ac:dyDescent="0.3">
      <c r="A33" s="3"/>
      <c r="B33" s="3"/>
      <c r="C33" s="3">
        <f t="shared" si="0"/>
        <v>-5520000</v>
      </c>
      <c r="D33" s="7"/>
      <c r="E33" s="8"/>
      <c r="F33" s="58"/>
    </row>
    <row r="34" spans="1:6" ht="15.6" x14ac:dyDescent="0.3">
      <c r="A34" s="3"/>
      <c r="B34" s="3"/>
      <c r="C34" s="3">
        <f>IF(A34&gt;0,C33+A34-B34,C33-B34)</f>
        <v>-5520000</v>
      </c>
      <c r="D34" s="7"/>
      <c r="E34" s="8"/>
      <c r="F34" s="58"/>
    </row>
    <row r="35" spans="1:6" ht="15.6" x14ac:dyDescent="0.3">
      <c r="A35" s="3"/>
      <c r="B35" s="3"/>
      <c r="C35" s="3">
        <f t="shared" si="0"/>
        <v>-5520000</v>
      </c>
      <c r="D35" s="7"/>
      <c r="E35" s="8"/>
      <c r="F35" s="58"/>
    </row>
    <row r="36" spans="1:6" ht="15.6" x14ac:dyDescent="0.3">
      <c r="A36" s="3"/>
      <c r="B36" s="3"/>
      <c r="C36" s="3">
        <f t="shared" si="0"/>
        <v>-5520000</v>
      </c>
      <c r="D36" s="7"/>
      <c r="E36" s="8"/>
      <c r="F36" s="58"/>
    </row>
    <row r="37" spans="1:6" ht="15.6" x14ac:dyDescent="0.3">
      <c r="A37" s="3"/>
      <c r="B37" s="3"/>
      <c r="C37" s="3">
        <f t="shared" si="0"/>
        <v>-5520000</v>
      </c>
      <c r="D37" s="7"/>
      <c r="E37" s="8"/>
      <c r="F37" s="58"/>
    </row>
    <row r="38" spans="1:6" ht="15.6" x14ac:dyDescent="0.3">
      <c r="A38" s="3"/>
      <c r="B38" s="3"/>
      <c r="C38" s="3">
        <f t="shared" si="0"/>
        <v>-5520000</v>
      </c>
      <c r="D38" s="7"/>
      <c r="E38" s="8"/>
      <c r="F38" s="58"/>
    </row>
    <row r="39" spans="1:6" ht="15.6" x14ac:dyDescent="0.3">
      <c r="A39" s="3"/>
      <c r="B39" s="3"/>
      <c r="C39" s="3">
        <f t="shared" si="0"/>
        <v>-5520000</v>
      </c>
      <c r="D39" s="7"/>
      <c r="E39" s="8"/>
      <c r="F39" s="58"/>
    </row>
    <row r="40" spans="1:6" ht="15.6" x14ac:dyDescent="0.3">
      <c r="A40" s="3"/>
      <c r="B40" s="3"/>
      <c r="C40" s="3">
        <f t="shared" si="0"/>
        <v>-5520000</v>
      </c>
      <c r="D40" s="7"/>
      <c r="E40" s="8"/>
      <c r="F40" s="58"/>
    </row>
    <row r="41" spans="1:6" ht="15.6" x14ac:dyDescent="0.3">
      <c r="A41" s="3"/>
      <c r="B41" s="3"/>
      <c r="C41" s="3">
        <f t="shared" si="0"/>
        <v>-5520000</v>
      </c>
      <c r="D41" s="7"/>
      <c r="E41" s="8"/>
      <c r="F41" s="58"/>
    </row>
    <row r="42" spans="1:6" ht="15.6" x14ac:dyDescent="0.3">
      <c r="A42" s="3"/>
      <c r="B42" s="3"/>
      <c r="C42" s="3">
        <f t="shared" si="0"/>
        <v>-5520000</v>
      </c>
      <c r="D42" s="7"/>
      <c r="E42" s="8"/>
      <c r="F42" s="58"/>
    </row>
    <row r="43" spans="1:6" ht="15.6" x14ac:dyDescent="0.3">
      <c r="A43" s="3"/>
      <c r="B43" s="3"/>
      <c r="C43" s="3">
        <f t="shared" si="0"/>
        <v>-5520000</v>
      </c>
      <c r="D43" s="7"/>
      <c r="E43" s="8"/>
      <c r="F43" s="58"/>
    </row>
    <row r="44" spans="1:6" ht="15.6" x14ac:dyDescent="0.3">
      <c r="A44" s="3"/>
      <c r="B44" s="3"/>
      <c r="C44" s="3">
        <f t="shared" si="0"/>
        <v>-5520000</v>
      </c>
      <c r="D44" s="7"/>
      <c r="E44" s="8"/>
      <c r="F44" s="58"/>
    </row>
    <row r="45" spans="1:6" ht="15.6" x14ac:dyDescent="0.3">
      <c r="A45" s="3"/>
      <c r="B45" s="3"/>
      <c r="C45" s="3">
        <f t="shared" si="0"/>
        <v>-5520000</v>
      </c>
      <c r="D45" s="7"/>
      <c r="E45" s="8"/>
      <c r="F45" s="58"/>
    </row>
    <row r="46" spans="1:6" ht="15.6" x14ac:dyDescent="0.3">
      <c r="A46" s="3"/>
      <c r="B46" s="3"/>
      <c r="C46" s="3">
        <f t="shared" si="0"/>
        <v>-5520000</v>
      </c>
      <c r="D46" s="7"/>
      <c r="E46" s="8"/>
      <c r="F46" s="58"/>
    </row>
    <row r="47" spans="1:6" ht="15.6" x14ac:dyDescent="0.3">
      <c r="A47" s="3"/>
      <c r="B47" s="3"/>
      <c r="C47" s="3">
        <f t="shared" si="0"/>
        <v>-5520000</v>
      </c>
      <c r="D47" s="7"/>
      <c r="E47" s="8"/>
      <c r="F47" s="58"/>
    </row>
    <row r="48" spans="1:6" ht="15.6" x14ac:dyDescent="0.3">
      <c r="A48" s="3"/>
      <c r="B48" s="3"/>
      <c r="C48" s="3">
        <f t="shared" si="0"/>
        <v>-5520000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-5520000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-5520000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-5520000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-5520000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-5520000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-5520000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-5520000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-5520000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-5520000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-5520000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-5520000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-5520000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-5520000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-5520000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-5520000</v>
      </c>
      <c r="D63" s="7"/>
      <c r="E63" s="8"/>
      <c r="F63" s="58"/>
    </row>
    <row r="64" spans="1:6" ht="15.6" x14ac:dyDescent="0.3">
      <c r="A64" s="3"/>
      <c r="B64" s="3"/>
      <c r="C64" s="3">
        <f t="shared" si="0"/>
        <v>-5520000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-5520000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-5520000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-5520000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-5520000</v>
      </c>
      <c r="D68" s="52"/>
      <c r="E68" s="8"/>
      <c r="F68" s="58"/>
    </row>
    <row r="69" spans="1:6" ht="15.6" x14ac:dyDescent="0.3">
      <c r="A69" s="3"/>
      <c r="B69" s="3"/>
      <c r="C69" s="3">
        <f t="shared" si="0"/>
        <v>-5520000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-5520000</v>
      </c>
      <c r="D70" s="7"/>
      <c r="E70" s="8"/>
      <c r="F70" s="58"/>
    </row>
    <row r="71" spans="1:6" ht="15.6" x14ac:dyDescent="0.3">
      <c r="A71" s="3"/>
      <c r="B71" s="3"/>
      <c r="C71" s="3">
        <f t="shared" ref="C71:C134" si="2">IF(A71&gt;0,C70+A71-B71,C70-B71)</f>
        <v>-5520000</v>
      </c>
      <c r="D71" s="7"/>
      <c r="E71" s="8"/>
      <c r="F71" s="58"/>
    </row>
    <row r="72" spans="1:6" ht="15.6" x14ac:dyDescent="0.3">
      <c r="A72" s="3"/>
      <c r="B72" s="3"/>
      <c r="C72" s="3">
        <f t="shared" si="2"/>
        <v>-5520000</v>
      </c>
      <c r="D72" s="7"/>
      <c r="E72" s="8"/>
      <c r="F72" s="58"/>
    </row>
    <row r="73" spans="1:6" ht="15.6" x14ac:dyDescent="0.3">
      <c r="A73" s="3"/>
      <c r="B73" s="3"/>
      <c r="C73" s="3">
        <f t="shared" si="2"/>
        <v>-5520000</v>
      </c>
      <c r="D73" s="7"/>
      <c r="E73" s="8"/>
      <c r="F73" s="58"/>
    </row>
    <row r="74" spans="1:6" ht="15.6" x14ac:dyDescent="0.3">
      <c r="A74" s="3"/>
      <c r="B74" s="3"/>
      <c r="C74" s="3">
        <f t="shared" si="2"/>
        <v>-5520000</v>
      </c>
      <c r="D74" s="7"/>
      <c r="E74" s="8"/>
      <c r="F74" s="58"/>
    </row>
    <row r="75" spans="1:6" ht="15.6" x14ac:dyDescent="0.3">
      <c r="A75" s="3"/>
      <c r="B75" s="3"/>
      <c r="C75" s="3">
        <f t="shared" si="2"/>
        <v>-5520000</v>
      </c>
      <c r="D75" s="7"/>
      <c r="E75" s="8"/>
      <c r="F75" s="58"/>
    </row>
    <row r="76" spans="1:6" ht="15.6" x14ac:dyDescent="0.3">
      <c r="A76" s="3"/>
      <c r="B76" s="3"/>
      <c r="C76" s="3">
        <f t="shared" si="2"/>
        <v>-5520000</v>
      </c>
      <c r="D76" s="7"/>
      <c r="E76" s="8"/>
      <c r="F76" s="58"/>
    </row>
    <row r="77" spans="1:6" ht="15.6" x14ac:dyDescent="0.3">
      <c r="A77" s="3"/>
      <c r="B77" s="3"/>
      <c r="C77" s="3">
        <f t="shared" si="2"/>
        <v>-5520000</v>
      </c>
      <c r="D77" s="7"/>
      <c r="E77" s="8"/>
      <c r="F77" s="58"/>
    </row>
    <row r="78" spans="1:6" ht="15.6" x14ac:dyDescent="0.3">
      <c r="A78" s="3"/>
      <c r="B78" s="3"/>
      <c r="C78" s="3">
        <f t="shared" si="2"/>
        <v>-5520000</v>
      </c>
      <c r="D78" s="7"/>
      <c r="E78" s="8"/>
      <c r="F78" s="58"/>
    </row>
    <row r="79" spans="1:6" ht="15.6" x14ac:dyDescent="0.3">
      <c r="A79" s="3"/>
      <c r="B79" s="3"/>
      <c r="C79" s="3">
        <f t="shared" si="2"/>
        <v>-5520000</v>
      </c>
      <c r="D79" s="7"/>
      <c r="E79" s="8"/>
      <c r="F79" s="58"/>
    </row>
    <row r="80" spans="1:6" ht="15.6" x14ac:dyDescent="0.3">
      <c r="A80" s="3"/>
      <c r="B80" s="3"/>
      <c r="C80" s="3">
        <f t="shared" si="2"/>
        <v>-5520000</v>
      </c>
      <c r="D80" s="7"/>
      <c r="E80" s="8"/>
      <c r="F80" s="58"/>
    </row>
    <row r="81" spans="1:6" ht="15.6" x14ac:dyDescent="0.3">
      <c r="A81" s="3"/>
      <c r="B81" s="3"/>
      <c r="C81" s="3">
        <f t="shared" si="2"/>
        <v>-5520000</v>
      </c>
      <c r="D81" s="7"/>
      <c r="E81" s="8"/>
      <c r="F81" s="58"/>
    </row>
    <row r="82" spans="1:6" ht="15.6" x14ac:dyDescent="0.3">
      <c r="A82" s="3"/>
      <c r="B82" s="3"/>
      <c r="C82" s="3">
        <f t="shared" si="2"/>
        <v>-5520000</v>
      </c>
      <c r="D82" s="7"/>
      <c r="E82" s="8"/>
      <c r="F82" s="58"/>
    </row>
    <row r="83" spans="1:6" ht="15.6" x14ac:dyDescent="0.3">
      <c r="A83" s="3"/>
      <c r="B83" s="3"/>
      <c r="C83" s="3">
        <f t="shared" si="2"/>
        <v>-5520000</v>
      </c>
      <c r="D83" s="7"/>
      <c r="E83" s="8"/>
      <c r="F83" s="58"/>
    </row>
    <row r="84" spans="1:6" ht="15.6" x14ac:dyDescent="0.3">
      <c r="A84" s="3"/>
      <c r="B84" s="3"/>
      <c r="C84" s="3">
        <f t="shared" si="2"/>
        <v>-5520000</v>
      </c>
      <c r="D84" s="7"/>
      <c r="E84" s="8"/>
      <c r="F84" s="58"/>
    </row>
    <row r="85" spans="1:6" ht="15.6" x14ac:dyDescent="0.3">
      <c r="A85" s="3"/>
      <c r="B85" s="3"/>
      <c r="C85" s="3">
        <f t="shared" si="2"/>
        <v>-5520000</v>
      </c>
      <c r="D85" s="7"/>
      <c r="E85" s="8"/>
      <c r="F85" s="58"/>
    </row>
    <row r="86" spans="1:6" ht="15.6" x14ac:dyDescent="0.3">
      <c r="A86" s="3"/>
      <c r="B86" s="3"/>
      <c r="C86" s="3">
        <f t="shared" si="2"/>
        <v>-5520000</v>
      </c>
      <c r="D86" s="7"/>
      <c r="E86" s="8"/>
      <c r="F86" s="58"/>
    </row>
    <row r="87" spans="1:6" ht="15.6" x14ac:dyDescent="0.3">
      <c r="A87" s="3"/>
      <c r="B87" s="3"/>
      <c r="C87" s="3">
        <f t="shared" si="2"/>
        <v>-5520000</v>
      </c>
      <c r="D87" s="7"/>
      <c r="E87" s="8"/>
      <c r="F87" s="7"/>
    </row>
    <row r="88" spans="1:6" ht="15.6" x14ac:dyDescent="0.3">
      <c r="A88" s="3"/>
      <c r="B88" s="3"/>
      <c r="C88" s="3">
        <f t="shared" si="2"/>
        <v>-5520000</v>
      </c>
      <c r="D88" s="7"/>
      <c r="E88" s="8"/>
      <c r="F88" s="7"/>
    </row>
    <row r="89" spans="1:6" ht="15.6" x14ac:dyDescent="0.3">
      <c r="A89" s="3"/>
      <c r="B89" s="3"/>
      <c r="C89" s="3">
        <f t="shared" si="2"/>
        <v>-5520000</v>
      </c>
      <c r="D89" s="7"/>
      <c r="E89" s="8"/>
      <c r="F89" s="7"/>
    </row>
    <row r="90" spans="1:6" ht="15.6" x14ac:dyDescent="0.3">
      <c r="A90" s="3"/>
      <c r="B90" s="3"/>
      <c r="C90" s="3">
        <f t="shared" si="2"/>
        <v>-5520000</v>
      </c>
      <c r="D90" s="7"/>
      <c r="E90" s="8"/>
      <c r="F90" s="7"/>
    </row>
    <row r="91" spans="1:6" ht="15.6" x14ac:dyDescent="0.3">
      <c r="A91" s="3"/>
      <c r="B91" s="3"/>
      <c r="C91" s="3">
        <f t="shared" si="2"/>
        <v>-5520000</v>
      </c>
      <c r="D91" s="7"/>
      <c r="E91" s="8"/>
      <c r="F91" s="7"/>
    </row>
    <row r="92" spans="1:6" ht="15.6" x14ac:dyDescent="0.3">
      <c r="A92" s="3"/>
      <c r="B92" s="3"/>
      <c r="C92" s="3">
        <f t="shared" si="2"/>
        <v>-5520000</v>
      </c>
      <c r="D92" s="7"/>
      <c r="E92" s="8"/>
      <c r="F92" s="7"/>
    </row>
    <row r="93" spans="1:6" ht="15.6" x14ac:dyDescent="0.3">
      <c r="A93" s="3"/>
      <c r="B93" s="3"/>
      <c r="C93" s="3">
        <f t="shared" si="2"/>
        <v>-5520000</v>
      </c>
      <c r="D93" s="7"/>
      <c r="E93" s="8"/>
      <c r="F93" s="7"/>
    </row>
    <row r="94" spans="1:6" ht="15.6" x14ac:dyDescent="0.3">
      <c r="A94" s="3"/>
      <c r="B94" s="3"/>
      <c r="C94" s="3">
        <f t="shared" si="2"/>
        <v>-5520000</v>
      </c>
      <c r="D94" s="7"/>
      <c r="E94" s="8"/>
      <c r="F94" s="7"/>
    </row>
    <row r="95" spans="1:6" ht="15.6" x14ac:dyDescent="0.3">
      <c r="A95" s="3"/>
      <c r="B95" s="3"/>
      <c r="C95" s="3">
        <f t="shared" si="2"/>
        <v>-5520000</v>
      </c>
      <c r="D95" s="7"/>
      <c r="E95" s="8"/>
      <c r="F95" s="7"/>
    </row>
    <row r="96" spans="1:6" ht="15.6" x14ac:dyDescent="0.3">
      <c r="A96" s="3"/>
      <c r="B96" s="3"/>
      <c r="C96" s="3">
        <f t="shared" si="2"/>
        <v>-5520000</v>
      </c>
      <c r="D96" s="7"/>
      <c r="E96" s="8"/>
      <c r="F96" s="7"/>
    </row>
    <row r="97" spans="1:6" ht="15.6" x14ac:dyDescent="0.3">
      <c r="A97" s="3"/>
      <c r="B97" s="3"/>
      <c r="C97" s="3">
        <f t="shared" si="2"/>
        <v>-5520000</v>
      </c>
      <c r="D97" s="7"/>
      <c r="E97" s="8"/>
      <c r="F97" s="7"/>
    </row>
    <row r="98" spans="1:6" ht="15.6" x14ac:dyDescent="0.3">
      <c r="A98" s="3"/>
      <c r="B98" s="3"/>
      <c r="C98" s="3">
        <f t="shared" si="2"/>
        <v>-5520000</v>
      </c>
      <c r="D98" s="7"/>
      <c r="E98" s="8"/>
      <c r="F98" s="7"/>
    </row>
    <row r="99" spans="1:6" ht="15.6" x14ac:dyDescent="0.3">
      <c r="A99" s="3"/>
      <c r="B99" s="3"/>
      <c r="C99" s="3">
        <f t="shared" si="2"/>
        <v>-5520000</v>
      </c>
      <c r="D99" s="7"/>
      <c r="E99" s="8"/>
      <c r="F99" s="7"/>
    </row>
    <row r="100" spans="1:6" ht="15.6" x14ac:dyDescent="0.3">
      <c r="A100" s="3"/>
      <c r="B100" s="3"/>
      <c r="C100" s="3">
        <f t="shared" si="2"/>
        <v>-5520000</v>
      </c>
      <c r="D100" s="7"/>
      <c r="E100" s="8"/>
      <c r="F100" s="7"/>
    </row>
    <row r="101" spans="1:6" ht="15.6" x14ac:dyDescent="0.3">
      <c r="A101" s="3"/>
      <c r="B101" s="3"/>
      <c r="C101" s="3">
        <f t="shared" si="2"/>
        <v>-5520000</v>
      </c>
      <c r="D101" s="7"/>
      <c r="E101" s="8"/>
      <c r="F101" s="7"/>
    </row>
    <row r="102" spans="1:6" ht="15.6" x14ac:dyDescent="0.3">
      <c r="A102" s="3"/>
      <c r="B102" s="3"/>
      <c r="C102" s="3">
        <f t="shared" si="2"/>
        <v>-5520000</v>
      </c>
      <c r="D102" s="7"/>
      <c r="E102" s="8"/>
      <c r="F102" s="7"/>
    </row>
    <row r="103" spans="1:6" ht="15.6" x14ac:dyDescent="0.3">
      <c r="A103" s="3"/>
      <c r="B103" s="3"/>
      <c r="C103" s="3">
        <f t="shared" si="2"/>
        <v>-5520000</v>
      </c>
      <c r="D103" s="7"/>
      <c r="E103" s="8"/>
      <c r="F103" s="7"/>
    </row>
    <row r="104" spans="1:6" ht="15.6" x14ac:dyDescent="0.3">
      <c r="A104" s="3"/>
      <c r="B104" s="3"/>
      <c r="C104" s="3">
        <f t="shared" si="2"/>
        <v>-5520000</v>
      </c>
      <c r="D104" s="7"/>
      <c r="E104" s="8"/>
      <c r="F104" s="7"/>
    </row>
    <row r="105" spans="1:6" ht="15.6" x14ac:dyDescent="0.3">
      <c r="A105" s="3"/>
      <c r="B105" s="3"/>
      <c r="C105" s="3">
        <f t="shared" si="2"/>
        <v>-5520000</v>
      </c>
      <c r="D105" s="7"/>
      <c r="E105" s="8"/>
      <c r="F105" s="7"/>
    </row>
    <row r="106" spans="1:6" ht="15.6" x14ac:dyDescent="0.3">
      <c r="A106" s="3"/>
      <c r="B106" s="3"/>
      <c r="C106" s="3">
        <f t="shared" si="2"/>
        <v>-5520000</v>
      </c>
      <c r="D106" s="7"/>
      <c r="E106" s="8"/>
      <c r="F106" s="7"/>
    </row>
    <row r="107" spans="1:6" ht="15.6" x14ac:dyDescent="0.3">
      <c r="A107" s="3"/>
      <c r="B107" s="3"/>
      <c r="C107" s="3">
        <f t="shared" si="2"/>
        <v>-5520000</v>
      </c>
      <c r="D107" s="7"/>
      <c r="E107" s="8"/>
      <c r="F107" s="7"/>
    </row>
    <row r="108" spans="1:6" ht="15.6" x14ac:dyDescent="0.3">
      <c r="A108" s="3"/>
      <c r="B108" s="3"/>
      <c r="C108" s="3">
        <f t="shared" si="2"/>
        <v>-5520000</v>
      </c>
      <c r="D108" s="7"/>
      <c r="E108" s="8"/>
      <c r="F108" s="7"/>
    </row>
    <row r="109" spans="1:6" ht="15.6" x14ac:dyDescent="0.3">
      <c r="A109" s="3"/>
      <c r="B109" s="3"/>
      <c r="C109" s="3">
        <f t="shared" si="2"/>
        <v>-5520000</v>
      </c>
      <c r="D109" s="7"/>
      <c r="E109" s="8"/>
      <c r="F109" s="7"/>
    </row>
    <row r="110" spans="1:6" ht="15.6" x14ac:dyDescent="0.3">
      <c r="A110" s="3"/>
      <c r="B110" s="3"/>
      <c r="C110" s="3">
        <f t="shared" si="2"/>
        <v>-5520000</v>
      </c>
      <c r="D110" s="7"/>
      <c r="E110" s="8"/>
      <c r="F110" s="7"/>
    </row>
    <row r="111" spans="1:6" ht="15.6" x14ac:dyDescent="0.3">
      <c r="A111" s="3"/>
      <c r="B111" s="3"/>
      <c r="C111" s="3">
        <f t="shared" si="2"/>
        <v>-5520000</v>
      </c>
      <c r="D111" s="7"/>
      <c r="E111" s="8"/>
      <c r="F111" s="7"/>
    </row>
    <row r="112" spans="1:6" ht="15.6" x14ac:dyDescent="0.3">
      <c r="A112" s="3"/>
      <c r="B112" s="3"/>
      <c r="C112" s="3">
        <f t="shared" si="2"/>
        <v>-5520000</v>
      </c>
      <c r="D112" s="7"/>
      <c r="E112" s="8"/>
      <c r="F112" s="7"/>
    </row>
    <row r="113" spans="1:6" ht="15.6" x14ac:dyDescent="0.3">
      <c r="A113" s="3"/>
      <c r="B113" s="3"/>
      <c r="C113" s="3">
        <f t="shared" si="2"/>
        <v>-5520000</v>
      </c>
      <c r="D113" s="7"/>
      <c r="E113" s="8"/>
      <c r="F113" s="7"/>
    </row>
    <row r="114" spans="1:6" ht="15.6" x14ac:dyDescent="0.3">
      <c r="A114" s="3"/>
      <c r="B114" s="3"/>
      <c r="C114" s="3">
        <f t="shared" si="2"/>
        <v>-5520000</v>
      </c>
      <c r="D114" s="7"/>
      <c r="E114" s="8"/>
      <c r="F114" s="7"/>
    </row>
    <row r="115" spans="1:6" ht="15.6" x14ac:dyDescent="0.3">
      <c r="A115" s="3"/>
      <c r="B115" s="3"/>
      <c r="C115" s="3">
        <f t="shared" si="2"/>
        <v>-5520000</v>
      </c>
      <c r="D115" s="7"/>
      <c r="E115" s="8"/>
      <c r="F115" s="7"/>
    </row>
    <row r="116" spans="1:6" ht="15.6" x14ac:dyDescent="0.3">
      <c r="A116" s="3"/>
      <c r="B116" s="3"/>
      <c r="C116" s="3">
        <f t="shared" si="2"/>
        <v>-5520000</v>
      </c>
      <c r="D116" s="7"/>
      <c r="E116" s="8"/>
      <c r="F116" s="7"/>
    </row>
    <row r="117" spans="1:6" ht="15.6" x14ac:dyDescent="0.3">
      <c r="A117" s="3"/>
      <c r="B117" s="3"/>
      <c r="C117" s="3">
        <f t="shared" si="2"/>
        <v>-5520000</v>
      </c>
      <c r="D117" s="7"/>
      <c r="E117" s="8"/>
      <c r="F117" s="7"/>
    </row>
    <row r="118" spans="1:6" ht="15.6" x14ac:dyDescent="0.3">
      <c r="A118" s="3"/>
      <c r="B118" s="3"/>
      <c r="C118" s="3">
        <f t="shared" si="2"/>
        <v>-5520000</v>
      </c>
      <c r="D118" s="7"/>
      <c r="E118" s="8"/>
      <c r="F118" s="7"/>
    </row>
    <row r="119" spans="1:6" ht="15.6" x14ac:dyDescent="0.3">
      <c r="A119" s="3"/>
      <c r="B119" s="3"/>
      <c r="C119" s="3">
        <f t="shared" si="2"/>
        <v>-5520000</v>
      </c>
      <c r="D119" s="7"/>
      <c r="E119" s="8"/>
      <c r="F119" s="7"/>
    </row>
    <row r="120" spans="1:6" ht="15.6" x14ac:dyDescent="0.3">
      <c r="A120" s="3"/>
      <c r="B120" s="3"/>
      <c r="C120" s="3">
        <f t="shared" si="2"/>
        <v>-5520000</v>
      </c>
      <c r="D120" s="7"/>
      <c r="E120" s="8"/>
      <c r="F120" s="7"/>
    </row>
    <row r="121" spans="1:6" ht="15.6" x14ac:dyDescent="0.3">
      <c r="A121" s="3"/>
      <c r="B121" s="3"/>
      <c r="C121" s="3">
        <f t="shared" si="2"/>
        <v>-5520000</v>
      </c>
      <c r="D121" s="7"/>
      <c r="E121" s="8"/>
      <c r="F121" s="7"/>
    </row>
    <row r="122" spans="1:6" ht="15.6" x14ac:dyDescent="0.3">
      <c r="A122" s="3"/>
      <c r="B122" s="3"/>
      <c r="C122" s="3">
        <f t="shared" si="2"/>
        <v>-5520000</v>
      </c>
      <c r="D122" s="7"/>
      <c r="E122" s="8"/>
      <c r="F122" s="7"/>
    </row>
    <row r="123" spans="1:6" ht="15.6" x14ac:dyDescent="0.3">
      <c r="A123" s="3"/>
      <c r="B123" s="3"/>
      <c r="C123" s="3">
        <f t="shared" si="2"/>
        <v>-5520000</v>
      </c>
      <c r="D123" s="7"/>
      <c r="E123" s="8"/>
      <c r="F123" s="7"/>
    </row>
    <row r="124" spans="1:6" ht="15.6" x14ac:dyDescent="0.3">
      <c r="A124" s="3"/>
      <c r="B124" s="3"/>
      <c r="C124" s="3">
        <f t="shared" si="2"/>
        <v>-5520000</v>
      </c>
      <c r="D124" s="7"/>
      <c r="E124" s="8"/>
      <c r="F124" s="7"/>
    </row>
    <row r="125" spans="1:6" ht="15.6" x14ac:dyDescent="0.3">
      <c r="A125" s="3"/>
      <c r="B125" s="3"/>
      <c r="C125" s="3">
        <f t="shared" si="2"/>
        <v>-5520000</v>
      </c>
      <c r="D125" s="7"/>
      <c r="E125" s="8"/>
      <c r="F125" s="7"/>
    </row>
    <row r="126" spans="1:6" ht="15.6" x14ac:dyDescent="0.3">
      <c r="A126" s="3"/>
      <c r="B126" s="3"/>
      <c r="C126" s="3">
        <f t="shared" si="2"/>
        <v>-5520000</v>
      </c>
      <c r="D126" s="7"/>
      <c r="E126" s="8"/>
      <c r="F126" s="7"/>
    </row>
    <row r="127" spans="1:6" ht="15.6" x14ac:dyDescent="0.3">
      <c r="A127" s="3"/>
      <c r="B127" s="3"/>
      <c r="C127" s="3">
        <f t="shared" si="2"/>
        <v>-5520000</v>
      </c>
      <c r="D127" s="7"/>
      <c r="E127" s="8"/>
      <c r="F127" s="7"/>
    </row>
    <row r="128" spans="1:6" ht="15.6" x14ac:dyDescent="0.3">
      <c r="A128" s="3"/>
      <c r="B128" s="3"/>
      <c r="C128" s="3">
        <f t="shared" si="2"/>
        <v>-5520000</v>
      </c>
      <c r="D128" s="7"/>
      <c r="E128" s="8"/>
      <c r="F128" s="7"/>
    </row>
    <row r="129" spans="1:6" ht="15.6" x14ac:dyDescent="0.3">
      <c r="A129" s="3"/>
      <c r="B129" s="3"/>
      <c r="C129" s="3">
        <f t="shared" si="2"/>
        <v>-5520000</v>
      </c>
      <c r="D129" s="7"/>
      <c r="E129" s="8"/>
      <c r="F129" s="7"/>
    </row>
    <row r="130" spans="1:6" ht="15.6" x14ac:dyDescent="0.3">
      <c r="A130" s="3"/>
      <c r="B130" s="3"/>
      <c r="C130" s="3">
        <f t="shared" si="2"/>
        <v>-5520000</v>
      </c>
      <c r="D130" s="7"/>
      <c r="E130" s="8"/>
      <c r="F130" s="7"/>
    </row>
    <row r="131" spans="1:6" ht="15.6" x14ac:dyDescent="0.3">
      <c r="A131" s="3"/>
      <c r="B131" s="3"/>
      <c r="C131" s="3">
        <f t="shared" si="2"/>
        <v>-5520000</v>
      </c>
      <c r="D131" s="7"/>
      <c r="E131" s="8"/>
      <c r="F131" s="7"/>
    </row>
    <row r="132" spans="1:6" ht="15.6" x14ac:dyDescent="0.3">
      <c r="A132" s="3"/>
      <c r="B132" s="3"/>
      <c r="C132" s="3">
        <f t="shared" si="2"/>
        <v>-5520000</v>
      </c>
      <c r="D132" s="7"/>
      <c r="E132" s="8"/>
      <c r="F132" s="7"/>
    </row>
    <row r="133" spans="1:6" ht="15.6" x14ac:dyDescent="0.3">
      <c r="A133" s="3"/>
      <c r="B133" s="3"/>
      <c r="C133" s="3">
        <f t="shared" si="2"/>
        <v>-5520000</v>
      </c>
      <c r="D133" s="7"/>
      <c r="E133" s="8"/>
      <c r="F133" s="7"/>
    </row>
    <row r="134" spans="1:6" ht="15.6" x14ac:dyDescent="0.3">
      <c r="A134" s="3"/>
      <c r="B134" s="3"/>
      <c r="C134" s="3">
        <f t="shared" si="2"/>
        <v>-5520000</v>
      </c>
      <c r="D134" s="7"/>
      <c r="E134" s="8"/>
      <c r="F134" s="7"/>
    </row>
    <row r="135" spans="1:6" ht="15.6" x14ac:dyDescent="0.3">
      <c r="A135" s="3"/>
      <c r="B135" s="3"/>
      <c r="C135" s="3">
        <f t="shared" ref="C135:C147" si="3">IF(A135&gt;0,C134+A135-B135,C134-B135)</f>
        <v>-5520000</v>
      </c>
      <c r="D135" s="7"/>
      <c r="E135" s="8"/>
      <c r="F135" s="7"/>
    </row>
    <row r="136" spans="1:6" ht="15.6" x14ac:dyDescent="0.3">
      <c r="A136" s="3"/>
      <c r="B136" s="3"/>
      <c r="C136" s="3">
        <f t="shared" si="3"/>
        <v>-5520000</v>
      </c>
      <c r="D136" s="7"/>
      <c r="E136" s="8"/>
      <c r="F136" s="7"/>
    </row>
    <row r="137" spans="1:6" ht="15.6" x14ac:dyDescent="0.3">
      <c r="A137" s="3"/>
      <c r="B137" s="3"/>
      <c r="C137" s="3">
        <f t="shared" si="3"/>
        <v>-5520000</v>
      </c>
      <c r="D137" s="7"/>
      <c r="E137" s="8"/>
      <c r="F137" s="7"/>
    </row>
    <row r="138" spans="1:6" ht="15.6" x14ac:dyDescent="0.3">
      <c r="A138" s="3"/>
      <c r="B138" s="3"/>
      <c r="C138" s="3">
        <f t="shared" si="3"/>
        <v>-5520000</v>
      </c>
      <c r="D138" s="7"/>
      <c r="E138" s="8"/>
      <c r="F138" s="7"/>
    </row>
    <row r="139" spans="1:6" ht="15.6" x14ac:dyDescent="0.3">
      <c r="A139" s="3"/>
      <c r="B139" s="3"/>
      <c r="C139" s="3">
        <f t="shared" si="3"/>
        <v>-5520000</v>
      </c>
      <c r="D139" s="7"/>
      <c r="E139" s="8"/>
      <c r="F139" s="7"/>
    </row>
    <row r="140" spans="1:6" ht="15.6" x14ac:dyDescent="0.3">
      <c r="A140" s="3"/>
      <c r="B140" s="3"/>
      <c r="C140" s="3">
        <f t="shared" si="3"/>
        <v>-5520000</v>
      </c>
      <c r="D140" s="7"/>
      <c r="E140" s="8"/>
      <c r="F140" s="7"/>
    </row>
    <row r="141" spans="1:6" ht="15.6" x14ac:dyDescent="0.3">
      <c r="A141" s="3"/>
      <c r="B141" s="3"/>
      <c r="C141" s="3">
        <f t="shared" si="3"/>
        <v>-5520000</v>
      </c>
      <c r="D141" s="7"/>
      <c r="E141" s="8"/>
      <c r="F141" s="7"/>
    </row>
    <row r="142" spans="1:6" ht="15.6" x14ac:dyDescent="0.3">
      <c r="A142" s="3"/>
      <c r="B142" s="3"/>
      <c r="C142" s="3">
        <f t="shared" si="3"/>
        <v>-5520000</v>
      </c>
      <c r="D142" s="7"/>
      <c r="E142" s="8"/>
      <c r="F142" s="7"/>
    </row>
    <row r="143" spans="1:6" ht="15.6" x14ac:dyDescent="0.3">
      <c r="A143" s="3"/>
      <c r="B143" s="3"/>
      <c r="C143" s="3">
        <f t="shared" si="3"/>
        <v>-5520000</v>
      </c>
      <c r="D143" s="7"/>
      <c r="E143" s="8"/>
      <c r="F143" s="7"/>
    </row>
    <row r="144" spans="1:6" ht="15.6" x14ac:dyDescent="0.3">
      <c r="A144" s="3"/>
      <c r="B144" s="3"/>
      <c r="C144" s="3">
        <f t="shared" si="3"/>
        <v>-5520000</v>
      </c>
      <c r="D144" s="7"/>
      <c r="E144" s="8"/>
      <c r="F144" s="7"/>
    </row>
    <row r="145" spans="1:6" ht="15.6" x14ac:dyDescent="0.3">
      <c r="A145" s="3"/>
      <c r="B145" s="3"/>
      <c r="C145" s="3">
        <f t="shared" si="3"/>
        <v>-5520000</v>
      </c>
      <c r="D145" s="7"/>
      <c r="E145" s="8"/>
      <c r="F145" s="7"/>
    </row>
    <row r="146" spans="1:6" ht="15.6" x14ac:dyDescent="0.3">
      <c r="A146" s="3"/>
      <c r="B146" s="3"/>
      <c r="C146" s="3">
        <f t="shared" si="3"/>
        <v>-5520000</v>
      </c>
      <c r="D146" s="7"/>
      <c r="E146" s="8"/>
      <c r="F146" s="7"/>
    </row>
    <row r="147" spans="1:6" ht="15.6" x14ac:dyDescent="0.3">
      <c r="A147" s="3"/>
      <c r="B147" s="3"/>
      <c r="C147" s="3">
        <f t="shared" si="3"/>
        <v>-5520000</v>
      </c>
      <c r="D147" s="7"/>
      <c r="E147" s="8"/>
      <c r="F147" s="7"/>
    </row>
    <row r="148" spans="1:6" ht="15.6" x14ac:dyDescent="0.3">
      <c r="A148" s="7"/>
      <c r="B148" s="7"/>
      <c r="C148" s="7"/>
      <c r="D148" s="7"/>
      <c r="E148" s="8"/>
      <c r="F148" s="7"/>
    </row>
    <row r="149" spans="1:6" ht="15.6" x14ac:dyDescent="0.3">
      <c r="A149" s="7"/>
      <c r="B149" s="7"/>
      <c r="C149" s="7"/>
      <c r="D149" s="7"/>
      <c r="E149" s="8"/>
      <c r="F149" s="7"/>
    </row>
    <row r="150" spans="1:6" ht="15.6" x14ac:dyDescent="0.3">
      <c r="A150" s="7"/>
      <c r="B150" s="7"/>
      <c r="C150" s="7">
        <f>IF(A150&gt;0,C147+A150-B150,C147-B150)</f>
        <v>-5520000</v>
      </c>
      <c r="D150" s="7"/>
      <c r="E150" s="8"/>
      <c r="F150" s="7"/>
    </row>
  </sheetData>
  <mergeCells count="1">
    <mergeCell ref="K7:M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52"/>
  <sheetViews>
    <sheetView rightToLeft="1" zoomScale="85" zoomScaleNormal="85" workbookViewId="0">
      <pane ySplit="5" topLeftCell="A6" activePane="bottomLeft" state="frozen"/>
      <selection pane="bottomLeft" activeCell="A19" sqref="A19"/>
    </sheetView>
  </sheetViews>
  <sheetFormatPr defaultColWidth="9" defaultRowHeight="14.4" x14ac:dyDescent="0.3"/>
  <cols>
    <col min="1" max="1" width="11.33203125" customWidth="1"/>
    <col min="2" max="2" width="11.88671875" customWidth="1"/>
    <col min="3" max="3" width="13.5546875" customWidth="1"/>
    <col min="4" max="4" width="52.88671875" bestFit="1" customWidth="1"/>
    <col min="5" max="5" width="20.44140625" bestFit="1" customWidth="1"/>
    <col min="8" max="8" width="15.6640625" customWidth="1"/>
    <col min="9" max="9" width="11.88671875" bestFit="1" customWidth="1"/>
    <col min="10" max="10" width="18" bestFit="1" customWidth="1"/>
    <col min="11" max="11" width="17.44140625" bestFit="1" customWidth="1"/>
    <col min="12" max="12" width="9.109375" bestFit="1" customWidth="1"/>
    <col min="13" max="13" width="26.44140625" customWidth="1"/>
  </cols>
  <sheetData>
    <row r="1" spans="1:13" ht="15.6" x14ac:dyDescent="0.3">
      <c r="A1" s="1"/>
      <c r="B1" s="1"/>
      <c r="C1" s="1"/>
      <c r="D1" s="1"/>
      <c r="E1" s="2"/>
      <c r="F1" s="1"/>
    </row>
    <row r="2" spans="1:13" ht="15.6" x14ac:dyDescent="0.3">
      <c r="A2" s="3">
        <f>SUBTOTAL(9,A5:A152)</f>
        <v>8200000</v>
      </c>
      <c r="B2" s="3">
        <f>SUBTOTAL(9,B5:B152)</f>
        <v>8950000</v>
      </c>
      <c r="C2" s="3">
        <f>A2-B2</f>
        <v>-750000</v>
      </c>
      <c r="D2" s="1"/>
      <c r="E2" s="2"/>
      <c r="F2" s="1"/>
    </row>
    <row r="3" spans="1:13" ht="29.25" customHeight="1" x14ac:dyDescent="0.3">
      <c r="A3" s="273" t="s">
        <v>222</v>
      </c>
      <c r="B3" s="274"/>
      <c r="C3" s="275"/>
      <c r="D3" s="5"/>
      <c r="E3" s="6"/>
      <c r="F3" s="6"/>
    </row>
    <row r="4" spans="1:13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3" ht="0.75" customHeight="1" x14ac:dyDescent="0.3">
      <c r="A5" s="7"/>
      <c r="B5" s="7"/>
      <c r="C5" s="7">
        <v>0</v>
      </c>
      <c r="D5" s="7"/>
      <c r="E5" s="8"/>
      <c r="F5" s="7"/>
    </row>
    <row r="6" spans="1:13" ht="15.6" x14ac:dyDescent="0.3">
      <c r="A6" s="80"/>
      <c r="B6" s="80">
        <v>3750000</v>
      </c>
      <c r="C6" s="4">
        <f>IF(A6&gt;0,C5+A6-B6,C5-B6)</f>
        <v>-3750000</v>
      </c>
      <c r="D6" s="81" t="s">
        <v>223</v>
      </c>
      <c r="E6" s="82"/>
      <c r="F6" s="58"/>
    </row>
    <row r="7" spans="1:13" ht="15.6" x14ac:dyDescent="0.3">
      <c r="A7" s="36">
        <v>1250000</v>
      </c>
      <c r="B7" s="83"/>
      <c r="C7" s="3">
        <f t="shared" ref="C7:C70" si="0">IF(A7&gt;0,C6+A7-B7,C6-B7)</f>
        <v>-2500000</v>
      </c>
      <c r="D7" s="75" t="s">
        <v>122</v>
      </c>
      <c r="E7" s="35" t="s">
        <v>224</v>
      </c>
      <c r="F7" s="58"/>
      <c r="H7" s="6"/>
      <c r="I7" s="5" t="s">
        <v>37</v>
      </c>
      <c r="J7" s="6" t="s">
        <v>226</v>
      </c>
      <c r="K7" s="272"/>
      <c r="L7" s="272"/>
      <c r="M7" s="6" t="s">
        <v>227</v>
      </c>
    </row>
    <row r="8" spans="1:13" ht="15.6" x14ac:dyDescent="0.3">
      <c r="A8" s="36">
        <v>500000</v>
      </c>
      <c r="B8" s="83"/>
      <c r="C8" s="3">
        <f t="shared" si="0"/>
        <v>-2000000</v>
      </c>
      <c r="D8" s="75" t="s">
        <v>225</v>
      </c>
      <c r="E8" s="8">
        <v>46143</v>
      </c>
      <c r="F8" s="58"/>
      <c r="H8" s="92" t="s">
        <v>40</v>
      </c>
      <c r="I8" s="7" t="s">
        <v>6</v>
      </c>
      <c r="J8" s="41" t="s">
        <v>41</v>
      </c>
      <c r="K8" s="41" t="s">
        <v>42</v>
      </c>
      <c r="L8" s="7" t="s">
        <v>43</v>
      </c>
      <c r="M8" s="7" t="s">
        <v>7</v>
      </c>
    </row>
    <row r="9" spans="1:13" ht="15.6" x14ac:dyDescent="0.3">
      <c r="A9" s="36">
        <v>500000</v>
      </c>
      <c r="B9" s="83"/>
      <c r="C9" s="3">
        <f t="shared" si="0"/>
        <v>-1500000</v>
      </c>
      <c r="D9" s="75" t="s">
        <v>225</v>
      </c>
      <c r="E9" s="8">
        <v>46144</v>
      </c>
      <c r="F9" s="58"/>
      <c r="H9" s="92"/>
      <c r="I9" s="7"/>
      <c r="J9" s="41">
        <v>3750000</v>
      </c>
      <c r="K9" s="41"/>
      <c r="L9" s="7">
        <f>J9-K9</f>
        <v>3750000</v>
      </c>
      <c r="M9" s="7" t="s">
        <v>228</v>
      </c>
    </row>
    <row r="10" spans="1:13" ht="15.6" x14ac:dyDescent="0.3">
      <c r="A10" s="36">
        <v>500000</v>
      </c>
      <c r="B10" s="84"/>
      <c r="C10" s="3">
        <f t="shared" si="0"/>
        <v>-1000000</v>
      </c>
      <c r="D10" s="75" t="s">
        <v>225</v>
      </c>
      <c r="E10" s="8">
        <v>46145</v>
      </c>
      <c r="F10" s="58"/>
      <c r="H10" s="92"/>
      <c r="I10" s="8"/>
      <c r="J10" s="41"/>
      <c r="K10" s="41">
        <v>1250000</v>
      </c>
      <c r="L10" s="7">
        <f>L9-K10</f>
        <v>2500000</v>
      </c>
      <c r="M10" s="7" t="s">
        <v>122</v>
      </c>
    </row>
    <row r="11" spans="1:13" ht="15.6" x14ac:dyDescent="0.3">
      <c r="A11" s="36">
        <v>500000</v>
      </c>
      <c r="B11" s="83"/>
      <c r="C11" s="3">
        <f t="shared" si="0"/>
        <v>-500000</v>
      </c>
      <c r="D11" s="75" t="s">
        <v>225</v>
      </c>
      <c r="E11" s="8">
        <v>46146</v>
      </c>
      <c r="F11" s="58"/>
      <c r="H11" s="92">
        <v>1</v>
      </c>
      <c r="I11" s="46">
        <v>46143</v>
      </c>
      <c r="J11" s="47"/>
      <c r="K11" s="47">
        <v>500000</v>
      </c>
      <c r="L11" s="48">
        <f>L10-K11</f>
        <v>2000000</v>
      </c>
      <c r="M11" s="48" t="s">
        <v>136</v>
      </c>
    </row>
    <row r="12" spans="1:13" ht="15.6" x14ac:dyDescent="0.3">
      <c r="A12" s="83">
        <v>500000</v>
      </c>
      <c r="B12" s="83"/>
      <c r="C12" s="3">
        <f t="shared" si="0"/>
        <v>0</v>
      </c>
      <c r="D12" s="75" t="s">
        <v>225</v>
      </c>
      <c r="E12" s="8">
        <v>46147</v>
      </c>
      <c r="F12" s="58"/>
      <c r="H12" s="92">
        <v>2</v>
      </c>
      <c r="I12" s="46">
        <v>46144</v>
      </c>
      <c r="J12" s="47"/>
      <c r="K12" s="47">
        <v>500000</v>
      </c>
      <c r="L12" s="48">
        <f>L11-K12</f>
        <v>1500000</v>
      </c>
      <c r="M12" s="48" t="s">
        <v>136</v>
      </c>
    </row>
    <row r="13" spans="1:13" ht="15.6" x14ac:dyDescent="0.3">
      <c r="A13" s="80"/>
      <c r="B13" s="80"/>
      <c r="C13" s="4">
        <f t="shared" si="0"/>
        <v>0</v>
      </c>
      <c r="D13" s="81"/>
      <c r="E13" s="118"/>
      <c r="F13" s="58"/>
      <c r="H13" s="92">
        <v>3</v>
      </c>
      <c r="I13" s="46">
        <v>46145</v>
      </c>
      <c r="J13" s="47"/>
      <c r="K13" s="47">
        <v>500000</v>
      </c>
      <c r="L13" s="48">
        <f t="shared" ref="L13:L16" si="1">L12-K13</f>
        <v>1000000</v>
      </c>
      <c r="M13" s="48" t="s">
        <v>136</v>
      </c>
    </row>
    <row r="14" spans="1:13" ht="15.6" x14ac:dyDescent="0.3">
      <c r="A14" s="83">
        <v>1000000</v>
      </c>
      <c r="B14" s="83"/>
      <c r="C14" s="3">
        <f t="shared" si="0"/>
        <v>1000000</v>
      </c>
      <c r="D14" s="57" t="s">
        <v>518</v>
      </c>
      <c r="E14" s="35" t="s">
        <v>517</v>
      </c>
      <c r="F14" s="58"/>
      <c r="H14" s="92">
        <v>4</v>
      </c>
      <c r="I14" s="46">
        <v>46146</v>
      </c>
      <c r="J14" s="47"/>
      <c r="K14" s="47">
        <v>500000</v>
      </c>
      <c r="L14" s="48">
        <f t="shared" si="1"/>
        <v>500000</v>
      </c>
      <c r="M14" s="48" t="s">
        <v>136</v>
      </c>
    </row>
    <row r="15" spans="1:13" ht="15.6" x14ac:dyDescent="0.3">
      <c r="A15" s="83">
        <v>1200000</v>
      </c>
      <c r="B15" s="83"/>
      <c r="C15" s="3">
        <f t="shared" si="0"/>
        <v>2200000</v>
      </c>
      <c r="D15" s="57" t="s">
        <v>518</v>
      </c>
      <c r="E15" s="94" t="s">
        <v>486</v>
      </c>
      <c r="F15" s="58"/>
      <c r="H15" s="92">
        <v>5</v>
      </c>
      <c r="I15" s="46">
        <v>46147</v>
      </c>
      <c r="J15" s="47"/>
      <c r="K15" s="47">
        <v>500000</v>
      </c>
      <c r="L15" s="48">
        <f t="shared" si="1"/>
        <v>0</v>
      </c>
      <c r="M15" s="48" t="s">
        <v>136</v>
      </c>
    </row>
    <row r="16" spans="1:13" ht="15.6" x14ac:dyDescent="0.3">
      <c r="A16" s="88"/>
      <c r="B16" s="88">
        <v>5200000</v>
      </c>
      <c r="C16" s="3">
        <f t="shared" si="0"/>
        <v>-3000000</v>
      </c>
      <c r="D16" s="89" t="s">
        <v>545</v>
      </c>
      <c r="E16" s="73">
        <v>46180</v>
      </c>
      <c r="F16" s="58"/>
      <c r="H16" s="92">
        <v>6</v>
      </c>
      <c r="I16" s="8"/>
      <c r="J16" s="41"/>
      <c r="K16" s="41"/>
      <c r="L16" s="7">
        <f t="shared" si="1"/>
        <v>0</v>
      </c>
      <c r="M16" s="7"/>
    </row>
    <row r="17" spans="1:13" ht="15.6" x14ac:dyDescent="0.3">
      <c r="A17" s="88">
        <v>750000</v>
      </c>
      <c r="B17" s="88"/>
      <c r="C17" s="3">
        <f t="shared" si="0"/>
        <v>-2250000</v>
      </c>
      <c r="D17" s="89"/>
      <c r="E17" s="73">
        <v>46250</v>
      </c>
      <c r="F17" s="58"/>
      <c r="H17" s="15"/>
      <c r="I17" s="15"/>
    </row>
    <row r="18" spans="1:13" ht="15.6" x14ac:dyDescent="0.3">
      <c r="A18" s="88">
        <v>750000</v>
      </c>
      <c r="B18" s="88"/>
      <c r="C18" s="3">
        <f t="shared" si="0"/>
        <v>-1500000</v>
      </c>
      <c r="D18" s="89"/>
      <c r="E18" s="73">
        <v>46273</v>
      </c>
      <c r="F18" s="58"/>
      <c r="H18" s="6"/>
      <c r="I18" s="5" t="s">
        <v>37</v>
      </c>
      <c r="J18" s="6" t="s">
        <v>546</v>
      </c>
      <c r="K18" s="272"/>
      <c r="L18" s="272"/>
      <c r="M18" s="6" t="s">
        <v>227</v>
      </c>
    </row>
    <row r="19" spans="1:13" ht="15.6" x14ac:dyDescent="0.3">
      <c r="A19" s="3">
        <v>750000</v>
      </c>
      <c r="B19" s="3"/>
      <c r="C19" s="3">
        <f t="shared" si="0"/>
        <v>-750000</v>
      </c>
      <c r="D19" s="7" t="s">
        <v>573</v>
      </c>
      <c r="E19" s="90">
        <v>46305</v>
      </c>
      <c r="F19" s="58"/>
      <c r="H19" s="92" t="s">
        <v>40</v>
      </c>
      <c r="I19" s="7" t="s">
        <v>6</v>
      </c>
      <c r="J19" s="41" t="s">
        <v>41</v>
      </c>
      <c r="K19" s="41" t="s">
        <v>42</v>
      </c>
      <c r="L19" s="7" t="s">
        <v>43</v>
      </c>
      <c r="M19" s="7" t="s">
        <v>7</v>
      </c>
    </row>
    <row r="20" spans="1:13" ht="15.6" x14ac:dyDescent="0.3">
      <c r="A20" s="3"/>
      <c r="B20" s="3"/>
      <c r="C20" s="3">
        <f t="shared" si="0"/>
        <v>-750000</v>
      </c>
      <c r="D20" s="91"/>
      <c r="E20" s="8"/>
      <c r="F20" s="58"/>
      <c r="H20" s="92"/>
      <c r="I20" s="8">
        <v>46180.6432621528</v>
      </c>
      <c r="J20" s="41">
        <v>5200000</v>
      </c>
      <c r="K20" s="41"/>
      <c r="L20" s="7">
        <f>J20-K20</f>
        <v>5200000</v>
      </c>
      <c r="M20" s="7" t="s">
        <v>228</v>
      </c>
    </row>
    <row r="21" spans="1:13" ht="15.6" x14ac:dyDescent="0.3">
      <c r="A21" s="3"/>
      <c r="B21" s="3"/>
      <c r="C21" s="3">
        <f t="shared" si="0"/>
        <v>-750000</v>
      </c>
      <c r="D21" s="8"/>
      <c r="E21" s="8"/>
      <c r="F21" s="58"/>
      <c r="H21" s="92"/>
      <c r="I21" s="8">
        <v>46218</v>
      </c>
      <c r="J21" s="41"/>
      <c r="K21" s="41">
        <v>750000</v>
      </c>
      <c r="L21" s="7">
        <f>L20-K21</f>
        <v>4450000</v>
      </c>
      <c r="M21" s="7"/>
    </row>
    <row r="22" spans="1:13" ht="15.6" x14ac:dyDescent="0.3">
      <c r="A22" s="3"/>
      <c r="B22" s="3"/>
      <c r="C22" s="3">
        <f t="shared" si="0"/>
        <v>-750000</v>
      </c>
      <c r="D22" s="8"/>
      <c r="E22" s="8"/>
      <c r="F22" s="58"/>
      <c r="H22" s="92">
        <v>1</v>
      </c>
      <c r="I22" s="8">
        <v>46249</v>
      </c>
      <c r="J22" s="41"/>
      <c r="K22" s="41">
        <v>750000</v>
      </c>
      <c r="L22" s="7">
        <f>L21-K22</f>
        <v>3700000</v>
      </c>
      <c r="M22" s="7"/>
    </row>
    <row r="23" spans="1:13" ht="15.6" x14ac:dyDescent="0.3">
      <c r="A23" s="3"/>
      <c r="B23" s="3"/>
      <c r="C23" s="3">
        <f t="shared" si="0"/>
        <v>-750000</v>
      </c>
      <c r="D23" s="8"/>
      <c r="E23" s="8"/>
      <c r="F23" s="58"/>
      <c r="H23" s="92">
        <v>2</v>
      </c>
      <c r="I23" s="8">
        <v>46280</v>
      </c>
      <c r="J23" s="41"/>
      <c r="K23" s="41">
        <v>750000</v>
      </c>
      <c r="L23" s="7">
        <f>L22-K23</f>
        <v>2950000</v>
      </c>
      <c r="M23" s="7"/>
    </row>
    <row r="24" spans="1:13" ht="15.6" x14ac:dyDescent="0.3">
      <c r="A24" s="3"/>
      <c r="B24" s="3"/>
      <c r="C24" s="3">
        <f t="shared" si="0"/>
        <v>-750000</v>
      </c>
      <c r="D24" s="8"/>
      <c r="E24" s="8"/>
      <c r="F24" s="58"/>
      <c r="H24" s="92">
        <v>3</v>
      </c>
      <c r="I24" s="8">
        <v>46310</v>
      </c>
      <c r="J24" s="41"/>
      <c r="K24" s="41">
        <v>750000</v>
      </c>
      <c r="L24" s="7">
        <f t="shared" ref="L24:L27" si="2">L23-K24</f>
        <v>2200000</v>
      </c>
      <c r="M24" s="7"/>
    </row>
    <row r="25" spans="1:13" ht="15.6" x14ac:dyDescent="0.3">
      <c r="A25" s="3"/>
      <c r="B25" s="3"/>
      <c r="C25" s="3">
        <f t="shared" si="0"/>
        <v>-750000</v>
      </c>
      <c r="D25" s="8"/>
      <c r="E25" s="8"/>
      <c r="F25" s="58"/>
      <c r="H25" s="92">
        <v>4</v>
      </c>
      <c r="I25" s="8"/>
      <c r="J25" s="41"/>
      <c r="K25" s="41"/>
      <c r="L25" s="7">
        <f t="shared" si="2"/>
        <v>2200000</v>
      </c>
      <c r="M25" s="7"/>
    </row>
    <row r="26" spans="1:13" ht="15.6" x14ac:dyDescent="0.3">
      <c r="A26" s="3"/>
      <c r="B26" s="3"/>
      <c r="C26" s="3">
        <f t="shared" si="0"/>
        <v>-750000</v>
      </c>
      <c r="D26" s="8"/>
      <c r="E26" s="8"/>
      <c r="F26" s="58"/>
      <c r="H26" s="92">
        <v>5</v>
      </c>
      <c r="I26" s="8"/>
      <c r="J26" s="41"/>
      <c r="K26" s="41"/>
      <c r="L26" s="7">
        <f t="shared" si="2"/>
        <v>2200000</v>
      </c>
      <c r="M26" s="7"/>
    </row>
    <row r="27" spans="1:13" ht="15.6" x14ac:dyDescent="0.3">
      <c r="A27" s="3"/>
      <c r="B27" s="3"/>
      <c r="C27" s="3">
        <f t="shared" si="0"/>
        <v>-750000</v>
      </c>
      <c r="D27" s="8"/>
      <c r="E27" s="8"/>
      <c r="F27" s="58"/>
      <c r="H27" s="92">
        <v>6</v>
      </c>
      <c r="I27" s="8"/>
      <c r="J27" s="41"/>
      <c r="K27" s="41"/>
      <c r="L27" s="7">
        <f t="shared" si="2"/>
        <v>2200000</v>
      </c>
      <c r="M27" s="7"/>
    </row>
    <row r="28" spans="1:13" ht="15.6" x14ac:dyDescent="0.3">
      <c r="A28" s="3"/>
      <c r="B28" s="3"/>
      <c r="C28" s="3">
        <f t="shared" si="0"/>
        <v>-750000</v>
      </c>
      <c r="D28" s="8"/>
      <c r="E28" s="8"/>
      <c r="F28" s="58"/>
    </row>
    <row r="29" spans="1:13" ht="15.6" x14ac:dyDescent="0.3">
      <c r="A29" s="3"/>
      <c r="B29" s="3"/>
      <c r="C29" s="3">
        <f t="shared" si="0"/>
        <v>-750000</v>
      </c>
      <c r="D29" s="7"/>
      <c r="E29" s="8"/>
      <c r="F29" s="58"/>
    </row>
    <row r="30" spans="1:13" ht="15.6" x14ac:dyDescent="0.3">
      <c r="A30" s="3"/>
      <c r="B30" s="3"/>
      <c r="C30" s="3">
        <f t="shared" si="0"/>
        <v>-750000</v>
      </c>
      <c r="D30" s="7"/>
      <c r="E30" s="8"/>
      <c r="F30" s="58"/>
    </row>
    <row r="31" spans="1:13" ht="15.6" x14ac:dyDescent="0.3">
      <c r="A31" s="3"/>
      <c r="B31" s="3"/>
      <c r="C31" s="3">
        <f>IF(A31&gt;0,C30+A31-B31,C30-B31)</f>
        <v>-750000</v>
      </c>
      <c r="D31" s="7"/>
      <c r="E31" s="8"/>
      <c r="F31" s="58"/>
    </row>
    <row r="32" spans="1:13" ht="15.6" x14ac:dyDescent="0.3">
      <c r="A32" s="3"/>
      <c r="B32" s="3"/>
      <c r="C32" s="3">
        <f t="shared" si="0"/>
        <v>-750000</v>
      </c>
      <c r="D32" s="7"/>
      <c r="E32" s="8"/>
      <c r="F32" s="58"/>
    </row>
    <row r="33" spans="1:6" ht="15.6" x14ac:dyDescent="0.3">
      <c r="A33" s="3"/>
      <c r="B33" s="3"/>
      <c r="C33" s="3">
        <f t="shared" si="0"/>
        <v>-750000</v>
      </c>
      <c r="D33" s="7"/>
      <c r="E33" s="8"/>
      <c r="F33" s="58"/>
    </row>
    <row r="34" spans="1:6" ht="15.6" x14ac:dyDescent="0.3">
      <c r="A34" s="3"/>
      <c r="B34" s="3"/>
      <c r="C34" s="3">
        <f t="shared" si="0"/>
        <v>-750000</v>
      </c>
      <c r="D34" s="7"/>
      <c r="E34" s="8"/>
      <c r="F34" s="58"/>
    </row>
    <row r="35" spans="1:6" ht="15.6" x14ac:dyDescent="0.3">
      <c r="A35" s="3"/>
      <c r="B35" s="3"/>
      <c r="C35" s="3">
        <f t="shared" si="0"/>
        <v>-750000</v>
      </c>
      <c r="D35" s="7"/>
      <c r="E35" s="8"/>
      <c r="F35" s="58"/>
    </row>
    <row r="36" spans="1:6" ht="15.6" x14ac:dyDescent="0.3">
      <c r="A36" s="3"/>
      <c r="B36" s="3"/>
      <c r="C36" s="3">
        <f>IF(A36&gt;0,C35+A36-B36,C35-B36)</f>
        <v>-750000</v>
      </c>
      <c r="D36" s="7"/>
      <c r="E36" s="8"/>
      <c r="F36" s="58"/>
    </row>
    <row r="37" spans="1:6" ht="15.6" x14ac:dyDescent="0.3">
      <c r="A37" s="3"/>
      <c r="B37" s="3"/>
      <c r="C37" s="3">
        <f t="shared" si="0"/>
        <v>-750000</v>
      </c>
      <c r="D37" s="7"/>
      <c r="E37" s="8"/>
      <c r="F37" s="58"/>
    </row>
    <row r="38" spans="1:6" ht="15.6" x14ac:dyDescent="0.3">
      <c r="A38" s="3"/>
      <c r="B38" s="3"/>
      <c r="C38" s="3">
        <f t="shared" si="0"/>
        <v>-750000</v>
      </c>
      <c r="D38" s="7"/>
      <c r="E38" s="8"/>
      <c r="F38" s="58"/>
    </row>
    <row r="39" spans="1:6" ht="15.6" x14ac:dyDescent="0.3">
      <c r="A39" s="3"/>
      <c r="B39" s="3"/>
      <c r="C39" s="3">
        <f t="shared" si="0"/>
        <v>-750000</v>
      </c>
      <c r="D39" s="7"/>
      <c r="E39" s="8"/>
      <c r="F39" s="58"/>
    </row>
    <row r="40" spans="1:6" ht="15.6" x14ac:dyDescent="0.3">
      <c r="A40" s="3"/>
      <c r="B40" s="3"/>
      <c r="C40" s="3">
        <f t="shared" si="0"/>
        <v>-750000</v>
      </c>
      <c r="D40" s="7"/>
      <c r="E40" s="8"/>
      <c r="F40" s="58"/>
    </row>
    <row r="41" spans="1:6" ht="15.6" x14ac:dyDescent="0.3">
      <c r="A41" s="3"/>
      <c r="B41" s="3"/>
      <c r="C41" s="3">
        <f t="shared" si="0"/>
        <v>-750000</v>
      </c>
      <c r="D41" s="7"/>
      <c r="E41" s="8"/>
      <c r="F41" s="58"/>
    </row>
    <row r="42" spans="1:6" ht="15.6" x14ac:dyDescent="0.3">
      <c r="A42" s="3"/>
      <c r="B42" s="3"/>
      <c r="C42" s="3">
        <f t="shared" si="0"/>
        <v>-750000</v>
      </c>
      <c r="D42" s="7"/>
      <c r="E42" s="8"/>
      <c r="F42" s="58"/>
    </row>
    <row r="43" spans="1:6" ht="15.6" x14ac:dyDescent="0.3">
      <c r="A43" s="3"/>
      <c r="B43" s="3"/>
      <c r="C43" s="3">
        <f t="shared" si="0"/>
        <v>-750000</v>
      </c>
      <c r="D43" s="7"/>
      <c r="E43" s="8"/>
      <c r="F43" s="58"/>
    </row>
    <row r="44" spans="1:6" ht="15.6" x14ac:dyDescent="0.3">
      <c r="A44" s="3"/>
      <c r="B44" s="3"/>
      <c r="C44" s="3">
        <f t="shared" si="0"/>
        <v>-750000</v>
      </c>
      <c r="D44" s="7"/>
      <c r="E44" s="8"/>
      <c r="F44" s="58"/>
    </row>
    <row r="45" spans="1:6" ht="15.6" x14ac:dyDescent="0.3">
      <c r="A45" s="3"/>
      <c r="B45" s="3"/>
      <c r="C45" s="3">
        <f t="shared" si="0"/>
        <v>-750000</v>
      </c>
      <c r="D45" s="7"/>
      <c r="E45" s="8"/>
      <c r="F45" s="58"/>
    </row>
    <row r="46" spans="1:6" ht="15.6" x14ac:dyDescent="0.3">
      <c r="A46" s="3"/>
      <c r="B46" s="3"/>
      <c r="C46" s="3">
        <f t="shared" si="0"/>
        <v>-750000</v>
      </c>
      <c r="D46" s="7"/>
      <c r="E46" s="8"/>
      <c r="F46" s="58"/>
    </row>
    <row r="47" spans="1:6" ht="15.6" x14ac:dyDescent="0.3">
      <c r="A47" s="3"/>
      <c r="B47" s="3"/>
      <c r="C47" s="3">
        <f t="shared" si="0"/>
        <v>-750000</v>
      </c>
      <c r="D47" s="7"/>
      <c r="E47" s="8"/>
      <c r="F47" s="58"/>
    </row>
    <row r="48" spans="1:6" ht="15.6" x14ac:dyDescent="0.3">
      <c r="A48" s="3"/>
      <c r="B48" s="3"/>
      <c r="C48" s="3">
        <f t="shared" si="0"/>
        <v>-750000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-750000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-750000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-750000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-750000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-750000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-750000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-750000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-750000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-750000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-750000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-750000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-750000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-750000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-750000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-750000</v>
      </c>
      <c r="D63" s="7"/>
      <c r="E63" s="8"/>
      <c r="F63" s="58"/>
    </row>
    <row r="64" spans="1:6" ht="15.6" x14ac:dyDescent="0.3">
      <c r="A64" s="3"/>
      <c r="B64" s="3"/>
      <c r="C64" s="3">
        <f t="shared" si="0"/>
        <v>-750000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-750000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-750000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-750000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-750000</v>
      </c>
      <c r="D68" s="7"/>
      <c r="E68" s="8"/>
      <c r="F68" s="58"/>
    </row>
    <row r="69" spans="1:6" ht="15.6" x14ac:dyDescent="0.3">
      <c r="A69" s="3"/>
      <c r="B69" s="3"/>
      <c r="C69" s="3">
        <f t="shared" si="0"/>
        <v>-750000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-750000</v>
      </c>
      <c r="D70" s="52"/>
      <c r="E70" s="8"/>
      <c r="F70" s="58"/>
    </row>
    <row r="71" spans="1:6" ht="15.6" x14ac:dyDescent="0.3">
      <c r="A71" s="3"/>
      <c r="B71" s="3"/>
      <c r="C71" s="3">
        <f t="shared" ref="C71:C134" si="3">IF(A71&gt;0,C70+A71-B71,C70-B71)</f>
        <v>-750000</v>
      </c>
      <c r="D71" s="7"/>
      <c r="E71" s="8"/>
      <c r="F71" s="58"/>
    </row>
    <row r="72" spans="1:6" ht="15.6" x14ac:dyDescent="0.3">
      <c r="A72" s="3"/>
      <c r="B72" s="3"/>
      <c r="C72" s="3">
        <f t="shared" si="3"/>
        <v>-750000</v>
      </c>
      <c r="D72" s="7"/>
      <c r="E72" s="8"/>
      <c r="F72" s="58"/>
    </row>
    <row r="73" spans="1:6" ht="15.6" x14ac:dyDescent="0.3">
      <c r="A73" s="3"/>
      <c r="B73" s="3"/>
      <c r="C73" s="3">
        <f t="shared" si="3"/>
        <v>-750000</v>
      </c>
      <c r="D73" s="7"/>
      <c r="E73" s="8"/>
      <c r="F73" s="58"/>
    </row>
    <row r="74" spans="1:6" ht="15.6" x14ac:dyDescent="0.3">
      <c r="A74" s="3"/>
      <c r="B74" s="3"/>
      <c r="C74" s="3">
        <f t="shared" si="3"/>
        <v>-750000</v>
      </c>
      <c r="D74" s="7"/>
      <c r="E74" s="8"/>
      <c r="F74" s="58"/>
    </row>
    <row r="75" spans="1:6" ht="15.6" x14ac:dyDescent="0.3">
      <c r="A75" s="3"/>
      <c r="B75" s="3"/>
      <c r="C75" s="3">
        <f t="shared" si="3"/>
        <v>-750000</v>
      </c>
      <c r="D75" s="7"/>
      <c r="E75" s="8"/>
      <c r="F75" s="58"/>
    </row>
    <row r="76" spans="1:6" ht="15.6" x14ac:dyDescent="0.3">
      <c r="A76" s="3"/>
      <c r="B76" s="3"/>
      <c r="C76" s="3">
        <f t="shared" si="3"/>
        <v>-750000</v>
      </c>
      <c r="D76" s="7"/>
      <c r="E76" s="8"/>
      <c r="F76" s="58"/>
    </row>
    <row r="77" spans="1:6" ht="15.6" x14ac:dyDescent="0.3">
      <c r="A77" s="3"/>
      <c r="B77" s="3"/>
      <c r="C77" s="3">
        <f t="shared" si="3"/>
        <v>-750000</v>
      </c>
      <c r="D77" s="7"/>
      <c r="E77" s="8"/>
      <c r="F77" s="58"/>
    </row>
    <row r="78" spans="1:6" ht="15.6" x14ac:dyDescent="0.3">
      <c r="A78" s="3"/>
      <c r="B78" s="3"/>
      <c r="C78" s="3">
        <f t="shared" si="3"/>
        <v>-750000</v>
      </c>
      <c r="D78" s="7"/>
      <c r="E78" s="8"/>
      <c r="F78" s="58"/>
    </row>
    <row r="79" spans="1:6" ht="15.6" x14ac:dyDescent="0.3">
      <c r="A79" s="3"/>
      <c r="B79" s="3"/>
      <c r="C79" s="3">
        <f t="shared" si="3"/>
        <v>-750000</v>
      </c>
      <c r="D79" s="7"/>
      <c r="E79" s="8"/>
      <c r="F79" s="58"/>
    </row>
    <row r="80" spans="1:6" ht="15.6" x14ac:dyDescent="0.3">
      <c r="A80" s="3"/>
      <c r="B80" s="3"/>
      <c r="C80" s="3">
        <f t="shared" si="3"/>
        <v>-750000</v>
      </c>
      <c r="D80" s="7"/>
      <c r="E80" s="8"/>
      <c r="F80" s="58"/>
    </row>
    <row r="81" spans="1:6" ht="15.6" x14ac:dyDescent="0.3">
      <c r="A81" s="3"/>
      <c r="B81" s="3"/>
      <c r="C81" s="3">
        <f t="shared" si="3"/>
        <v>-750000</v>
      </c>
      <c r="D81" s="7"/>
      <c r="E81" s="8"/>
      <c r="F81" s="58"/>
    </row>
    <row r="82" spans="1:6" ht="15.6" x14ac:dyDescent="0.3">
      <c r="A82" s="3"/>
      <c r="B82" s="3"/>
      <c r="C82" s="3">
        <f t="shared" si="3"/>
        <v>-750000</v>
      </c>
      <c r="D82" s="7"/>
      <c r="E82" s="8"/>
      <c r="F82" s="58"/>
    </row>
    <row r="83" spans="1:6" ht="15.6" x14ac:dyDescent="0.3">
      <c r="A83" s="3"/>
      <c r="B83" s="3"/>
      <c r="C83" s="3">
        <f t="shared" si="3"/>
        <v>-750000</v>
      </c>
      <c r="D83" s="7"/>
      <c r="E83" s="8"/>
      <c r="F83" s="58"/>
    </row>
    <row r="84" spans="1:6" ht="15.6" x14ac:dyDescent="0.3">
      <c r="A84" s="3"/>
      <c r="B84" s="3"/>
      <c r="C84" s="3">
        <f t="shared" si="3"/>
        <v>-750000</v>
      </c>
      <c r="D84" s="7"/>
      <c r="E84" s="8"/>
      <c r="F84" s="58"/>
    </row>
    <row r="85" spans="1:6" ht="15.6" x14ac:dyDescent="0.3">
      <c r="A85" s="3"/>
      <c r="B85" s="3"/>
      <c r="C85" s="3">
        <f t="shared" si="3"/>
        <v>-750000</v>
      </c>
      <c r="D85" s="7"/>
      <c r="E85" s="8"/>
      <c r="F85" s="58"/>
    </row>
    <row r="86" spans="1:6" ht="15.6" x14ac:dyDescent="0.3">
      <c r="A86" s="3"/>
      <c r="B86" s="3"/>
      <c r="C86" s="3">
        <f t="shared" si="3"/>
        <v>-750000</v>
      </c>
      <c r="D86" s="7"/>
      <c r="E86" s="8"/>
      <c r="F86" s="58"/>
    </row>
    <row r="87" spans="1:6" ht="15.6" x14ac:dyDescent="0.3">
      <c r="A87" s="3"/>
      <c r="B87" s="3"/>
      <c r="C87" s="3">
        <f t="shared" si="3"/>
        <v>-750000</v>
      </c>
      <c r="D87" s="7"/>
      <c r="E87" s="8"/>
      <c r="F87" s="58"/>
    </row>
    <row r="88" spans="1:6" ht="15.6" x14ac:dyDescent="0.3">
      <c r="A88" s="3"/>
      <c r="B88" s="3"/>
      <c r="C88" s="3">
        <f t="shared" si="3"/>
        <v>-750000</v>
      </c>
      <c r="D88" s="7"/>
      <c r="E88" s="8"/>
      <c r="F88" s="58"/>
    </row>
    <row r="89" spans="1:6" ht="15.6" x14ac:dyDescent="0.3">
      <c r="A89" s="3"/>
      <c r="B89" s="3"/>
      <c r="C89" s="3">
        <f t="shared" si="3"/>
        <v>-750000</v>
      </c>
      <c r="D89" s="7"/>
      <c r="E89" s="8"/>
      <c r="F89" s="7"/>
    </row>
    <row r="90" spans="1:6" ht="15.6" x14ac:dyDescent="0.3">
      <c r="A90" s="3"/>
      <c r="B90" s="3"/>
      <c r="C90" s="3">
        <f t="shared" si="3"/>
        <v>-750000</v>
      </c>
      <c r="D90" s="7"/>
      <c r="E90" s="8"/>
      <c r="F90" s="7"/>
    </row>
    <row r="91" spans="1:6" ht="15.6" x14ac:dyDescent="0.3">
      <c r="A91" s="3"/>
      <c r="B91" s="3"/>
      <c r="C91" s="3">
        <f t="shared" si="3"/>
        <v>-750000</v>
      </c>
      <c r="D91" s="7"/>
      <c r="E91" s="8"/>
      <c r="F91" s="7"/>
    </row>
    <row r="92" spans="1:6" ht="15.6" x14ac:dyDescent="0.3">
      <c r="A92" s="3"/>
      <c r="B92" s="3"/>
      <c r="C92" s="3">
        <f t="shared" si="3"/>
        <v>-750000</v>
      </c>
      <c r="D92" s="7"/>
      <c r="E92" s="8"/>
      <c r="F92" s="7"/>
    </row>
    <row r="93" spans="1:6" ht="15.6" x14ac:dyDescent="0.3">
      <c r="A93" s="3"/>
      <c r="B93" s="3"/>
      <c r="C93" s="3">
        <f t="shared" si="3"/>
        <v>-750000</v>
      </c>
      <c r="D93" s="7"/>
      <c r="E93" s="8"/>
      <c r="F93" s="7"/>
    </row>
    <row r="94" spans="1:6" ht="15.6" x14ac:dyDescent="0.3">
      <c r="A94" s="3"/>
      <c r="B94" s="3"/>
      <c r="C94" s="3">
        <f t="shared" si="3"/>
        <v>-750000</v>
      </c>
      <c r="D94" s="7"/>
      <c r="E94" s="8"/>
      <c r="F94" s="7"/>
    </row>
    <row r="95" spans="1:6" ht="15.6" x14ac:dyDescent="0.3">
      <c r="A95" s="3"/>
      <c r="B95" s="3"/>
      <c r="C95" s="3">
        <f t="shared" si="3"/>
        <v>-750000</v>
      </c>
      <c r="D95" s="7"/>
      <c r="E95" s="8"/>
      <c r="F95" s="7"/>
    </row>
    <row r="96" spans="1:6" ht="15.6" x14ac:dyDescent="0.3">
      <c r="A96" s="3"/>
      <c r="B96" s="3"/>
      <c r="C96" s="3">
        <f t="shared" si="3"/>
        <v>-750000</v>
      </c>
      <c r="D96" s="7"/>
      <c r="E96" s="8"/>
      <c r="F96" s="7"/>
    </row>
    <row r="97" spans="1:6" ht="15.6" x14ac:dyDescent="0.3">
      <c r="A97" s="3"/>
      <c r="B97" s="3"/>
      <c r="C97" s="3">
        <f t="shared" si="3"/>
        <v>-750000</v>
      </c>
      <c r="D97" s="7"/>
      <c r="E97" s="8"/>
      <c r="F97" s="7"/>
    </row>
    <row r="98" spans="1:6" ht="15.6" x14ac:dyDescent="0.3">
      <c r="A98" s="3"/>
      <c r="B98" s="3"/>
      <c r="C98" s="3">
        <f t="shared" si="3"/>
        <v>-750000</v>
      </c>
      <c r="D98" s="7"/>
      <c r="E98" s="8"/>
      <c r="F98" s="7"/>
    </row>
    <row r="99" spans="1:6" ht="15.6" x14ac:dyDescent="0.3">
      <c r="A99" s="3"/>
      <c r="B99" s="3"/>
      <c r="C99" s="3">
        <f t="shared" si="3"/>
        <v>-750000</v>
      </c>
      <c r="D99" s="7"/>
      <c r="E99" s="8"/>
      <c r="F99" s="7"/>
    </row>
    <row r="100" spans="1:6" ht="15.6" x14ac:dyDescent="0.3">
      <c r="A100" s="3"/>
      <c r="B100" s="3"/>
      <c r="C100" s="3">
        <f t="shared" si="3"/>
        <v>-750000</v>
      </c>
      <c r="D100" s="7"/>
      <c r="E100" s="8"/>
      <c r="F100" s="7"/>
    </row>
    <row r="101" spans="1:6" ht="15.6" x14ac:dyDescent="0.3">
      <c r="A101" s="3"/>
      <c r="B101" s="3"/>
      <c r="C101" s="3">
        <f t="shared" si="3"/>
        <v>-750000</v>
      </c>
      <c r="D101" s="7"/>
      <c r="E101" s="8"/>
      <c r="F101" s="7"/>
    </row>
    <row r="102" spans="1:6" ht="15.6" x14ac:dyDescent="0.3">
      <c r="A102" s="3"/>
      <c r="B102" s="3"/>
      <c r="C102" s="3">
        <f t="shared" si="3"/>
        <v>-750000</v>
      </c>
      <c r="D102" s="7"/>
      <c r="E102" s="8"/>
      <c r="F102" s="7"/>
    </row>
    <row r="103" spans="1:6" ht="15.6" x14ac:dyDescent="0.3">
      <c r="A103" s="3"/>
      <c r="B103" s="3"/>
      <c r="C103" s="3">
        <f t="shared" si="3"/>
        <v>-750000</v>
      </c>
      <c r="D103" s="7"/>
      <c r="E103" s="8"/>
      <c r="F103" s="7"/>
    </row>
    <row r="104" spans="1:6" ht="15.6" x14ac:dyDescent="0.3">
      <c r="A104" s="3"/>
      <c r="B104" s="3"/>
      <c r="C104" s="3">
        <f t="shared" si="3"/>
        <v>-750000</v>
      </c>
      <c r="D104" s="7"/>
      <c r="E104" s="8"/>
      <c r="F104" s="7"/>
    </row>
    <row r="105" spans="1:6" ht="15.6" x14ac:dyDescent="0.3">
      <c r="A105" s="3"/>
      <c r="B105" s="3"/>
      <c r="C105" s="3">
        <f t="shared" si="3"/>
        <v>-750000</v>
      </c>
      <c r="D105" s="7"/>
      <c r="E105" s="8"/>
      <c r="F105" s="7"/>
    </row>
    <row r="106" spans="1:6" ht="15.6" x14ac:dyDescent="0.3">
      <c r="A106" s="3"/>
      <c r="B106" s="3"/>
      <c r="C106" s="3">
        <f t="shared" si="3"/>
        <v>-750000</v>
      </c>
      <c r="D106" s="7"/>
      <c r="E106" s="8"/>
      <c r="F106" s="7"/>
    </row>
    <row r="107" spans="1:6" ht="15.6" x14ac:dyDescent="0.3">
      <c r="A107" s="3"/>
      <c r="B107" s="3"/>
      <c r="C107" s="3">
        <f t="shared" si="3"/>
        <v>-750000</v>
      </c>
      <c r="D107" s="7"/>
      <c r="E107" s="8"/>
      <c r="F107" s="7"/>
    </row>
    <row r="108" spans="1:6" ht="15.6" x14ac:dyDescent="0.3">
      <c r="A108" s="3"/>
      <c r="B108" s="3"/>
      <c r="C108" s="3">
        <f t="shared" si="3"/>
        <v>-750000</v>
      </c>
      <c r="D108" s="7"/>
      <c r="E108" s="8"/>
      <c r="F108" s="7"/>
    </row>
    <row r="109" spans="1:6" ht="15.6" x14ac:dyDescent="0.3">
      <c r="A109" s="3"/>
      <c r="B109" s="3"/>
      <c r="C109" s="3">
        <f t="shared" si="3"/>
        <v>-750000</v>
      </c>
      <c r="D109" s="7"/>
      <c r="E109" s="8"/>
      <c r="F109" s="7"/>
    </row>
    <row r="110" spans="1:6" ht="15.6" x14ac:dyDescent="0.3">
      <c r="A110" s="3"/>
      <c r="B110" s="3"/>
      <c r="C110" s="3">
        <f t="shared" si="3"/>
        <v>-750000</v>
      </c>
      <c r="D110" s="7"/>
      <c r="E110" s="8"/>
      <c r="F110" s="7"/>
    </row>
    <row r="111" spans="1:6" ht="15.6" x14ac:dyDescent="0.3">
      <c r="A111" s="3"/>
      <c r="B111" s="3"/>
      <c r="C111" s="3">
        <f t="shared" si="3"/>
        <v>-750000</v>
      </c>
      <c r="D111" s="7"/>
      <c r="E111" s="8"/>
      <c r="F111" s="7"/>
    </row>
    <row r="112" spans="1:6" ht="15.6" x14ac:dyDescent="0.3">
      <c r="A112" s="3"/>
      <c r="B112" s="3"/>
      <c r="C112" s="3">
        <f t="shared" si="3"/>
        <v>-750000</v>
      </c>
      <c r="D112" s="7"/>
      <c r="E112" s="8"/>
      <c r="F112" s="7"/>
    </row>
    <row r="113" spans="1:6" ht="15.6" x14ac:dyDescent="0.3">
      <c r="A113" s="3"/>
      <c r="B113" s="3"/>
      <c r="C113" s="3">
        <f t="shared" si="3"/>
        <v>-750000</v>
      </c>
      <c r="D113" s="7"/>
      <c r="E113" s="8"/>
      <c r="F113" s="7"/>
    </row>
    <row r="114" spans="1:6" ht="15.6" x14ac:dyDescent="0.3">
      <c r="A114" s="3"/>
      <c r="B114" s="3"/>
      <c r="C114" s="3">
        <f t="shared" si="3"/>
        <v>-750000</v>
      </c>
      <c r="D114" s="7"/>
      <c r="E114" s="8"/>
      <c r="F114" s="7"/>
    </row>
    <row r="115" spans="1:6" ht="15.6" x14ac:dyDescent="0.3">
      <c r="A115" s="3"/>
      <c r="B115" s="3"/>
      <c r="C115" s="3">
        <f t="shared" si="3"/>
        <v>-750000</v>
      </c>
      <c r="D115" s="7"/>
      <c r="E115" s="8"/>
      <c r="F115" s="7"/>
    </row>
    <row r="116" spans="1:6" ht="15.6" x14ac:dyDescent="0.3">
      <c r="A116" s="3"/>
      <c r="B116" s="3"/>
      <c r="C116" s="3">
        <f t="shared" si="3"/>
        <v>-750000</v>
      </c>
      <c r="D116" s="7"/>
      <c r="E116" s="8"/>
      <c r="F116" s="7"/>
    </row>
    <row r="117" spans="1:6" ht="15.6" x14ac:dyDescent="0.3">
      <c r="A117" s="3"/>
      <c r="B117" s="3"/>
      <c r="C117" s="3">
        <f t="shared" si="3"/>
        <v>-750000</v>
      </c>
      <c r="D117" s="7"/>
      <c r="E117" s="8"/>
      <c r="F117" s="7"/>
    </row>
    <row r="118" spans="1:6" ht="15.6" x14ac:dyDescent="0.3">
      <c r="A118" s="3"/>
      <c r="B118" s="3"/>
      <c r="C118" s="3">
        <f t="shared" si="3"/>
        <v>-750000</v>
      </c>
      <c r="D118" s="7"/>
      <c r="E118" s="8"/>
      <c r="F118" s="7"/>
    </row>
    <row r="119" spans="1:6" ht="15.6" x14ac:dyDescent="0.3">
      <c r="A119" s="3"/>
      <c r="B119" s="3"/>
      <c r="C119" s="3">
        <f t="shared" si="3"/>
        <v>-750000</v>
      </c>
      <c r="D119" s="7"/>
      <c r="E119" s="8"/>
      <c r="F119" s="7"/>
    </row>
    <row r="120" spans="1:6" ht="15.6" x14ac:dyDescent="0.3">
      <c r="A120" s="3"/>
      <c r="B120" s="3"/>
      <c r="C120" s="3">
        <f t="shared" si="3"/>
        <v>-750000</v>
      </c>
      <c r="D120" s="7"/>
      <c r="E120" s="8"/>
      <c r="F120" s="7"/>
    </row>
    <row r="121" spans="1:6" ht="15.6" x14ac:dyDescent="0.3">
      <c r="A121" s="3"/>
      <c r="B121" s="3"/>
      <c r="C121" s="3">
        <f t="shared" si="3"/>
        <v>-750000</v>
      </c>
      <c r="D121" s="7"/>
      <c r="E121" s="8"/>
      <c r="F121" s="7"/>
    </row>
    <row r="122" spans="1:6" ht="15.6" x14ac:dyDescent="0.3">
      <c r="A122" s="3"/>
      <c r="B122" s="3"/>
      <c r="C122" s="3">
        <f t="shared" si="3"/>
        <v>-750000</v>
      </c>
      <c r="D122" s="7"/>
      <c r="E122" s="8"/>
      <c r="F122" s="7"/>
    </row>
    <row r="123" spans="1:6" ht="15.6" x14ac:dyDescent="0.3">
      <c r="A123" s="3"/>
      <c r="B123" s="3"/>
      <c r="C123" s="3">
        <f t="shared" si="3"/>
        <v>-750000</v>
      </c>
      <c r="D123" s="7"/>
      <c r="E123" s="8"/>
      <c r="F123" s="7"/>
    </row>
    <row r="124" spans="1:6" ht="15.6" x14ac:dyDescent="0.3">
      <c r="A124" s="3"/>
      <c r="B124" s="3"/>
      <c r="C124" s="3">
        <f t="shared" si="3"/>
        <v>-750000</v>
      </c>
      <c r="D124" s="7"/>
      <c r="E124" s="8"/>
      <c r="F124" s="7"/>
    </row>
    <row r="125" spans="1:6" ht="15.6" x14ac:dyDescent="0.3">
      <c r="A125" s="3"/>
      <c r="B125" s="3"/>
      <c r="C125" s="3">
        <f t="shared" si="3"/>
        <v>-750000</v>
      </c>
      <c r="D125" s="7"/>
      <c r="E125" s="8"/>
      <c r="F125" s="7"/>
    </row>
    <row r="126" spans="1:6" ht="15.6" x14ac:dyDescent="0.3">
      <c r="A126" s="3"/>
      <c r="B126" s="3"/>
      <c r="C126" s="3">
        <f t="shared" si="3"/>
        <v>-750000</v>
      </c>
      <c r="D126" s="7"/>
      <c r="E126" s="8"/>
      <c r="F126" s="7"/>
    </row>
    <row r="127" spans="1:6" ht="15.6" x14ac:dyDescent="0.3">
      <c r="A127" s="3"/>
      <c r="B127" s="3"/>
      <c r="C127" s="3">
        <f t="shared" si="3"/>
        <v>-750000</v>
      </c>
      <c r="D127" s="7"/>
      <c r="E127" s="8"/>
      <c r="F127" s="7"/>
    </row>
    <row r="128" spans="1:6" ht="15.6" x14ac:dyDescent="0.3">
      <c r="A128" s="3"/>
      <c r="B128" s="3"/>
      <c r="C128" s="3">
        <f t="shared" si="3"/>
        <v>-750000</v>
      </c>
      <c r="D128" s="7"/>
      <c r="E128" s="8"/>
      <c r="F128" s="7"/>
    </row>
    <row r="129" spans="1:6" ht="15.6" x14ac:dyDescent="0.3">
      <c r="A129" s="3"/>
      <c r="B129" s="3"/>
      <c r="C129" s="3">
        <f t="shared" si="3"/>
        <v>-750000</v>
      </c>
      <c r="D129" s="7"/>
      <c r="E129" s="8"/>
      <c r="F129" s="7"/>
    </row>
    <row r="130" spans="1:6" ht="15.6" x14ac:dyDescent="0.3">
      <c r="A130" s="3"/>
      <c r="B130" s="3"/>
      <c r="C130" s="3">
        <f t="shared" si="3"/>
        <v>-750000</v>
      </c>
      <c r="D130" s="7"/>
      <c r="E130" s="8"/>
      <c r="F130" s="7"/>
    </row>
    <row r="131" spans="1:6" ht="15.6" x14ac:dyDescent="0.3">
      <c r="A131" s="3"/>
      <c r="B131" s="3"/>
      <c r="C131" s="3">
        <f t="shared" si="3"/>
        <v>-750000</v>
      </c>
      <c r="D131" s="7"/>
      <c r="E131" s="8"/>
      <c r="F131" s="7"/>
    </row>
    <row r="132" spans="1:6" ht="15.6" x14ac:dyDescent="0.3">
      <c r="A132" s="3"/>
      <c r="B132" s="3"/>
      <c r="C132" s="3">
        <f t="shared" si="3"/>
        <v>-750000</v>
      </c>
      <c r="D132" s="7"/>
      <c r="E132" s="8"/>
      <c r="F132" s="7"/>
    </row>
    <row r="133" spans="1:6" ht="15.6" x14ac:dyDescent="0.3">
      <c r="A133" s="3"/>
      <c r="B133" s="3"/>
      <c r="C133" s="3">
        <f t="shared" si="3"/>
        <v>-750000</v>
      </c>
      <c r="D133" s="7"/>
      <c r="E133" s="8"/>
      <c r="F133" s="7"/>
    </row>
    <row r="134" spans="1:6" ht="15.6" x14ac:dyDescent="0.3">
      <c r="A134" s="3"/>
      <c r="B134" s="3"/>
      <c r="C134" s="3">
        <f t="shared" si="3"/>
        <v>-750000</v>
      </c>
      <c r="D134" s="7"/>
      <c r="E134" s="8"/>
      <c r="F134" s="7"/>
    </row>
    <row r="135" spans="1:6" ht="15.6" x14ac:dyDescent="0.3">
      <c r="A135" s="3"/>
      <c r="B135" s="3"/>
      <c r="C135" s="3">
        <f t="shared" ref="C135:C152" si="4">IF(A135&gt;0,C134+A135-B135,C134-B135)</f>
        <v>-750000</v>
      </c>
      <c r="D135" s="7"/>
      <c r="E135" s="8"/>
      <c r="F135" s="7"/>
    </row>
    <row r="136" spans="1:6" ht="15.6" x14ac:dyDescent="0.3">
      <c r="A136" s="3"/>
      <c r="B136" s="3"/>
      <c r="C136" s="3">
        <f t="shared" si="4"/>
        <v>-750000</v>
      </c>
      <c r="D136" s="7"/>
      <c r="E136" s="8"/>
      <c r="F136" s="7"/>
    </row>
    <row r="137" spans="1:6" ht="15.6" x14ac:dyDescent="0.3">
      <c r="A137" s="3"/>
      <c r="B137" s="3"/>
      <c r="C137" s="3">
        <f t="shared" si="4"/>
        <v>-750000</v>
      </c>
      <c r="D137" s="7"/>
      <c r="E137" s="8"/>
      <c r="F137" s="7"/>
    </row>
    <row r="138" spans="1:6" ht="15.6" x14ac:dyDescent="0.3">
      <c r="A138" s="3"/>
      <c r="B138" s="3"/>
      <c r="C138" s="3">
        <f t="shared" si="4"/>
        <v>-750000</v>
      </c>
      <c r="D138" s="7"/>
      <c r="E138" s="8"/>
      <c r="F138" s="7"/>
    </row>
    <row r="139" spans="1:6" ht="15.6" x14ac:dyDescent="0.3">
      <c r="A139" s="3"/>
      <c r="B139" s="3"/>
      <c r="C139" s="3">
        <f t="shared" si="4"/>
        <v>-750000</v>
      </c>
      <c r="D139" s="7"/>
      <c r="E139" s="8"/>
      <c r="F139" s="7"/>
    </row>
    <row r="140" spans="1:6" ht="15.6" x14ac:dyDescent="0.3">
      <c r="A140" s="3"/>
      <c r="B140" s="3"/>
      <c r="C140" s="3">
        <f t="shared" si="4"/>
        <v>-750000</v>
      </c>
      <c r="D140" s="7"/>
      <c r="E140" s="8"/>
      <c r="F140" s="7"/>
    </row>
    <row r="141" spans="1:6" ht="15.6" x14ac:dyDescent="0.3">
      <c r="A141" s="3"/>
      <c r="B141" s="3"/>
      <c r="C141" s="3">
        <f t="shared" si="4"/>
        <v>-750000</v>
      </c>
      <c r="D141" s="7"/>
      <c r="E141" s="8"/>
      <c r="F141" s="7"/>
    </row>
    <row r="142" spans="1:6" ht="15.6" x14ac:dyDescent="0.3">
      <c r="A142" s="3"/>
      <c r="B142" s="3"/>
      <c r="C142" s="3">
        <f t="shared" si="4"/>
        <v>-750000</v>
      </c>
      <c r="D142" s="7"/>
      <c r="E142" s="8"/>
      <c r="F142" s="7"/>
    </row>
    <row r="143" spans="1:6" ht="15.6" x14ac:dyDescent="0.3">
      <c r="A143" s="3"/>
      <c r="B143" s="3"/>
      <c r="C143" s="3">
        <f t="shared" si="4"/>
        <v>-750000</v>
      </c>
      <c r="D143" s="7"/>
      <c r="E143" s="8"/>
      <c r="F143" s="7"/>
    </row>
    <row r="144" spans="1:6" ht="15.6" x14ac:dyDescent="0.3">
      <c r="A144" s="3"/>
      <c r="B144" s="3"/>
      <c r="C144" s="3">
        <f t="shared" si="4"/>
        <v>-750000</v>
      </c>
      <c r="D144" s="7"/>
      <c r="E144" s="8"/>
      <c r="F144" s="7"/>
    </row>
    <row r="145" spans="1:6" ht="15.6" x14ac:dyDescent="0.3">
      <c r="A145" s="3"/>
      <c r="B145" s="3"/>
      <c r="C145" s="3">
        <f t="shared" si="4"/>
        <v>-750000</v>
      </c>
      <c r="D145" s="7"/>
      <c r="E145" s="8"/>
      <c r="F145" s="7"/>
    </row>
    <row r="146" spans="1:6" ht="15.6" x14ac:dyDescent="0.3">
      <c r="A146" s="3"/>
      <c r="B146" s="3"/>
      <c r="C146" s="3">
        <f t="shared" si="4"/>
        <v>-750000</v>
      </c>
      <c r="D146" s="7"/>
      <c r="E146" s="8"/>
      <c r="F146" s="7"/>
    </row>
    <row r="147" spans="1:6" ht="15.6" x14ac:dyDescent="0.3">
      <c r="A147" s="3"/>
      <c r="B147" s="3"/>
      <c r="C147" s="3">
        <f t="shared" si="4"/>
        <v>-750000</v>
      </c>
      <c r="D147" s="7"/>
      <c r="E147" s="8"/>
      <c r="F147" s="7"/>
    </row>
    <row r="148" spans="1:6" ht="15.6" x14ac:dyDescent="0.3">
      <c r="A148" s="3"/>
      <c r="B148" s="3"/>
      <c r="C148" s="3">
        <f t="shared" si="4"/>
        <v>-750000</v>
      </c>
      <c r="D148" s="7"/>
      <c r="E148" s="8"/>
      <c r="F148" s="7"/>
    </row>
    <row r="149" spans="1:6" ht="15.6" x14ac:dyDescent="0.3">
      <c r="A149" s="3"/>
      <c r="B149" s="3"/>
      <c r="C149" s="3">
        <f t="shared" si="4"/>
        <v>-750000</v>
      </c>
      <c r="D149" s="7"/>
      <c r="E149" s="8"/>
      <c r="F149" s="7"/>
    </row>
    <row r="150" spans="1:6" ht="15.6" x14ac:dyDescent="0.3">
      <c r="A150" s="3"/>
      <c r="B150" s="3"/>
      <c r="C150" s="3">
        <f t="shared" si="4"/>
        <v>-750000</v>
      </c>
      <c r="D150" s="7"/>
      <c r="E150" s="8"/>
      <c r="F150" s="7"/>
    </row>
    <row r="151" spans="1:6" ht="15.6" x14ac:dyDescent="0.3">
      <c r="A151" s="3"/>
      <c r="B151" s="3"/>
      <c r="C151" s="3">
        <f t="shared" si="4"/>
        <v>-750000</v>
      </c>
      <c r="D151" s="7"/>
      <c r="E151" s="8"/>
      <c r="F151" s="7"/>
    </row>
    <row r="152" spans="1:6" ht="15.6" x14ac:dyDescent="0.3">
      <c r="A152" s="3"/>
      <c r="B152" s="3"/>
      <c r="C152" s="3">
        <f t="shared" si="4"/>
        <v>-750000</v>
      </c>
      <c r="D152" s="7"/>
      <c r="E152" s="8"/>
      <c r="F152" s="7"/>
    </row>
  </sheetData>
  <mergeCells count="3">
    <mergeCell ref="A3:C3"/>
    <mergeCell ref="K7:L7"/>
    <mergeCell ref="K18:L18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0"/>
  <sheetViews>
    <sheetView rightToLeft="1" tabSelected="1" workbookViewId="0">
      <pane ySplit="5" topLeftCell="A6" activePane="bottomLeft" state="frozen"/>
      <selection pane="bottomLeft" activeCell="A17" sqref="A17"/>
    </sheetView>
  </sheetViews>
  <sheetFormatPr defaultColWidth="9" defaultRowHeight="14.4" x14ac:dyDescent="0.3"/>
  <cols>
    <col min="1" max="1" width="11.88671875" bestFit="1" customWidth="1"/>
    <col min="2" max="3" width="15.5546875" customWidth="1"/>
    <col min="4" max="4" width="22" customWidth="1"/>
    <col min="5" max="5" width="12.5546875" bestFit="1" customWidth="1"/>
    <col min="6" max="6" width="18.5546875" bestFit="1" customWidth="1"/>
    <col min="7" max="7" width="6.88671875" customWidth="1"/>
    <col min="8" max="8" width="4.88671875" customWidth="1"/>
    <col min="9" max="9" width="6.88671875" customWidth="1"/>
    <col min="10" max="10" width="12.109375" bestFit="1" customWidth="1"/>
    <col min="11" max="11" width="18.5546875" bestFit="1" customWidth="1"/>
    <col min="12" max="12" width="17.44140625" bestFit="1" customWidth="1"/>
    <col min="13" max="13" width="18.5546875" bestFit="1" customWidth="1"/>
    <col min="14" max="14" width="12" bestFit="1" customWidth="1"/>
    <col min="15" max="15" width="10.33203125" bestFit="1" customWidth="1"/>
  </cols>
  <sheetData>
    <row r="1" spans="1:15" ht="15.6" x14ac:dyDescent="0.3">
      <c r="A1" s="1"/>
      <c r="B1" s="1"/>
      <c r="C1" s="1"/>
      <c r="D1" s="1"/>
      <c r="E1" s="2"/>
      <c r="F1" s="1"/>
    </row>
    <row r="2" spans="1:15" ht="28.5" customHeight="1" x14ac:dyDescent="0.3">
      <c r="A2" s="3">
        <f>SUBTOTAL(9,A5:A150)</f>
        <v>12236228</v>
      </c>
      <c r="B2" s="3">
        <f>SUBTOTAL(9,B5:B150)</f>
        <v>33426452</v>
      </c>
      <c r="C2" s="3">
        <f>A2-B2</f>
        <v>-21190224</v>
      </c>
      <c r="D2" s="1"/>
      <c r="E2" s="2"/>
      <c r="F2" s="1"/>
    </row>
    <row r="3" spans="1:15" ht="18" customHeight="1" x14ac:dyDescent="0.3">
      <c r="A3" s="289" t="s">
        <v>249</v>
      </c>
      <c r="B3" s="299"/>
      <c r="C3" s="299"/>
      <c r="D3" s="290"/>
      <c r="E3" s="6" t="s">
        <v>250</v>
      </c>
      <c r="F3" s="6" t="s">
        <v>251</v>
      </c>
    </row>
    <row r="4" spans="1:15" ht="15.6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</row>
    <row r="5" spans="1:15" ht="0.75" customHeight="1" x14ac:dyDescent="0.3">
      <c r="A5" s="7"/>
      <c r="B5" s="7"/>
      <c r="C5" s="7">
        <v>0</v>
      </c>
      <c r="D5" s="7"/>
      <c r="E5" s="8"/>
      <c r="F5" s="7"/>
    </row>
    <row r="6" spans="1:15" ht="15.6" x14ac:dyDescent="0.3">
      <c r="A6" s="83"/>
      <c r="B6" s="83">
        <v>30387684</v>
      </c>
      <c r="C6" s="3">
        <f>IF(A6&gt;0,C5+A6-B6,C5-B6)</f>
        <v>-30387684</v>
      </c>
      <c r="D6" s="126" t="s">
        <v>252</v>
      </c>
      <c r="E6" s="94"/>
      <c r="F6" s="58"/>
    </row>
    <row r="7" spans="1:15" ht="21" customHeight="1" x14ac:dyDescent="0.3">
      <c r="A7" s="83"/>
      <c r="B7" s="83">
        <v>3038768</v>
      </c>
      <c r="C7" s="3">
        <f t="shared" ref="C7:C70" si="0">IF(A7&gt;0,C6+A7-B7,C6-B7)</f>
        <v>-33426452</v>
      </c>
      <c r="D7" s="126" t="s">
        <v>253</v>
      </c>
      <c r="E7" s="94"/>
      <c r="F7" s="58"/>
      <c r="I7" s="272" t="s">
        <v>258</v>
      </c>
      <c r="J7" s="272"/>
      <c r="K7" s="217"/>
      <c r="L7" s="217"/>
      <c r="M7" s="274" t="s">
        <v>463</v>
      </c>
      <c r="N7" s="274"/>
      <c r="O7" s="275"/>
    </row>
    <row r="8" spans="1:15" ht="15.6" x14ac:dyDescent="0.3">
      <c r="A8" s="84">
        <v>100000</v>
      </c>
      <c r="B8" s="84"/>
      <c r="C8" s="3">
        <f t="shared" si="0"/>
        <v>-33326452</v>
      </c>
      <c r="D8" s="87" t="s">
        <v>254</v>
      </c>
      <c r="E8" s="70" t="s">
        <v>255</v>
      </c>
      <c r="F8" s="58"/>
      <c r="I8" s="6"/>
      <c r="J8" s="5"/>
      <c r="K8" s="5"/>
      <c r="L8" s="5"/>
      <c r="M8" s="5"/>
      <c r="N8" s="272" t="s">
        <v>259</v>
      </c>
      <c r="O8" s="272"/>
    </row>
    <row r="9" spans="1:15" ht="15.6" x14ac:dyDescent="0.3">
      <c r="A9" s="86">
        <v>200000</v>
      </c>
      <c r="B9" s="86"/>
      <c r="C9" s="3">
        <f t="shared" si="0"/>
        <v>-33126452</v>
      </c>
      <c r="D9" s="87" t="s">
        <v>256</v>
      </c>
      <c r="E9" s="70" t="s">
        <v>257</v>
      </c>
      <c r="F9" s="58"/>
      <c r="I9" s="5" t="s">
        <v>40</v>
      </c>
      <c r="J9" s="5" t="s">
        <v>6</v>
      </c>
      <c r="K9" s="127" t="s">
        <v>41</v>
      </c>
      <c r="L9" s="127" t="s">
        <v>42</v>
      </c>
      <c r="M9" s="5" t="s">
        <v>43</v>
      </c>
      <c r="N9" s="5" t="s">
        <v>7</v>
      </c>
      <c r="O9" s="5" t="s">
        <v>260</v>
      </c>
    </row>
    <row r="10" spans="1:15" ht="15.6" x14ac:dyDescent="0.3">
      <c r="A10" s="86">
        <v>1200000</v>
      </c>
      <c r="B10" s="86"/>
      <c r="C10" s="3">
        <f t="shared" si="0"/>
        <v>-31926452</v>
      </c>
      <c r="D10" s="87" t="s">
        <v>256</v>
      </c>
      <c r="E10" s="70">
        <v>45879</v>
      </c>
      <c r="F10" s="58"/>
      <c r="I10" s="7"/>
      <c r="J10" s="7"/>
      <c r="K10" s="128">
        <f>30387684</f>
        <v>30387684</v>
      </c>
      <c r="L10" s="128"/>
      <c r="M10" s="128">
        <f>K10</f>
        <v>30387684</v>
      </c>
      <c r="N10" s="126" t="s">
        <v>252</v>
      </c>
      <c r="O10" s="7"/>
    </row>
    <row r="11" spans="1:15" ht="15.6" x14ac:dyDescent="0.3">
      <c r="A11" s="86">
        <v>1538000</v>
      </c>
      <c r="B11" s="86"/>
      <c r="C11" s="3">
        <f t="shared" si="0"/>
        <v>-30388452</v>
      </c>
      <c r="D11" s="87" t="s">
        <v>256</v>
      </c>
      <c r="E11" s="70">
        <v>45941</v>
      </c>
      <c r="F11" s="58"/>
      <c r="I11" s="7"/>
      <c r="J11" s="8"/>
      <c r="K11" s="128">
        <v>3038768</v>
      </c>
      <c r="L11" s="128"/>
      <c r="M11" s="129">
        <f>K10+K11</f>
        <v>33426452</v>
      </c>
      <c r="N11" s="126" t="s">
        <v>253</v>
      </c>
      <c r="O11" s="7"/>
    </row>
    <row r="12" spans="1:15" ht="15.6" x14ac:dyDescent="0.3">
      <c r="A12" s="86">
        <v>2279076</v>
      </c>
      <c r="B12" s="86"/>
      <c r="C12" s="3">
        <f t="shared" si="0"/>
        <v>-28109376</v>
      </c>
      <c r="D12" s="87" t="s">
        <v>464</v>
      </c>
      <c r="E12" s="70">
        <v>46055</v>
      </c>
      <c r="F12" s="58"/>
      <c r="I12" s="7"/>
      <c r="J12" s="8"/>
      <c r="K12" s="41"/>
      <c r="L12" s="41"/>
      <c r="M12" s="7">
        <f>M11-L12</f>
        <v>33426452</v>
      </c>
      <c r="N12" s="7"/>
      <c r="O12" s="7"/>
    </row>
    <row r="13" spans="1:15" ht="15.6" x14ac:dyDescent="0.3">
      <c r="A13" s="86">
        <v>2279076</v>
      </c>
      <c r="B13" s="86"/>
      <c r="C13" s="3">
        <f t="shared" si="0"/>
        <v>-25830300</v>
      </c>
      <c r="D13" s="87" t="s">
        <v>464</v>
      </c>
      <c r="E13" s="70">
        <v>46117</v>
      </c>
      <c r="F13" s="58"/>
      <c r="I13" s="7">
        <v>1</v>
      </c>
      <c r="J13" s="130" t="s">
        <v>261</v>
      </c>
      <c r="K13" s="131"/>
      <c r="L13" s="131">
        <v>300000</v>
      </c>
      <c r="M13" s="132">
        <f>M12-L13</f>
        <v>33126452</v>
      </c>
      <c r="N13" s="132" t="s">
        <v>262</v>
      </c>
      <c r="O13" s="48" t="s">
        <v>136</v>
      </c>
    </row>
    <row r="14" spans="1:15" ht="15.6" x14ac:dyDescent="0.3">
      <c r="A14" s="86">
        <v>2279076</v>
      </c>
      <c r="B14" s="88"/>
      <c r="C14" s="3">
        <f t="shared" si="0"/>
        <v>-23551224</v>
      </c>
      <c r="D14" s="89"/>
      <c r="E14" s="73">
        <v>46232</v>
      </c>
      <c r="F14" s="58"/>
      <c r="I14" s="7">
        <v>2</v>
      </c>
      <c r="J14" s="130">
        <v>45698</v>
      </c>
      <c r="K14" s="131"/>
      <c r="L14" s="131">
        <v>1200000</v>
      </c>
      <c r="M14" s="132">
        <f t="shared" ref="M14:M33" si="1">M13-L14</f>
        <v>31926452</v>
      </c>
      <c r="N14" s="132" t="s">
        <v>262</v>
      </c>
      <c r="O14" s="48" t="s">
        <v>136</v>
      </c>
    </row>
    <row r="15" spans="1:15" ht="15.6" x14ac:dyDescent="0.3">
      <c r="A15" s="88">
        <v>82000</v>
      </c>
      <c r="B15" s="88"/>
      <c r="C15" s="3">
        <f t="shared" si="0"/>
        <v>-23469224</v>
      </c>
      <c r="D15" s="89" t="s">
        <v>548</v>
      </c>
      <c r="E15" s="73">
        <v>46273</v>
      </c>
      <c r="F15" s="58"/>
      <c r="I15" s="7">
        <v>3</v>
      </c>
      <c r="J15" s="130">
        <v>45788</v>
      </c>
      <c r="K15" s="131"/>
      <c r="L15" s="131">
        <v>1538000</v>
      </c>
      <c r="M15" s="132">
        <f t="shared" si="1"/>
        <v>30388452</v>
      </c>
      <c r="N15" s="132" t="s">
        <v>262</v>
      </c>
      <c r="O15" s="48" t="s">
        <v>136</v>
      </c>
    </row>
    <row r="16" spans="1:15" ht="15.6" x14ac:dyDescent="0.3">
      <c r="A16" s="88">
        <v>2279000</v>
      </c>
      <c r="B16" s="88"/>
      <c r="C16" s="3">
        <f t="shared" si="0"/>
        <v>-21190224</v>
      </c>
      <c r="D16" s="89"/>
      <c r="E16" s="73">
        <v>46308</v>
      </c>
      <c r="F16" s="58"/>
      <c r="I16" s="7">
        <v>4</v>
      </c>
      <c r="J16" s="8">
        <v>46296</v>
      </c>
      <c r="K16" s="41"/>
      <c r="L16" s="41">
        <v>2279076</v>
      </c>
      <c r="M16" s="7">
        <f t="shared" si="1"/>
        <v>28109376</v>
      </c>
      <c r="N16" s="7" t="s">
        <v>263</v>
      </c>
      <c r="O16" s="48" t="s">
        <v>136</v>
      </c>
    </row>
    <row r="17" spans="1:15" ht="15.6" x14ac:dyDescent="0.3">
      <c r="A17" s="3"/>
      <c r="B17" s="3"/>
      <c r="C17" s="3">
        <f t="shared" si="0"/>
        <v>-21190224</v>
      </c>
      <c r="D17" s="7"/>
      <c r="E17" s="90"/>
      <c r="F17" s="58"/>
      <c r="I17" s="7">
        <v>5</v>
      </c>
      <c r="J17" s="8" t="s">
        <v>264</v>
      </c>
      <c r="K17" s="41"/>
      <c r="L17" s="41">
        <v>2279076</v>
      </c>
      <c r="M17" s="7">
        <f t="shared" si="1"/>
        <v>25830300</v>
      </c>
      <c r="N17" s="7" t="s">
        <v>265</v>
      </c>
      <c r="O17" s="48" t="s">
        <v>136</v>
      </c>
    </row>
    <row r="18" spans="1:15" ht="15.6" x14ac:dyDescent="0.3">
      <c r="A18" s="3"/>
      <c r="B18" s="3"/>
      <c r="C18" s="3">
        <f t="shared" si="0"/>
        <v>-21190224</v>
      </c>
      <c r="D18" s="91"/>
      <c r="E18" s="8"/>
      <c r="F18" s="58"/>
      <c r="I18" s="7">
        <v>6</v>
      </c>
      <c r="J18" s="8">
        <v>46302</v>
      </c>
      <c r="K18" s="41"/>
      <c r="L18" s="41">
        <v>2279076</v>
      </c>
      <c r="M18" s="7">
        <f t="shared" si="1"/>
        <v>23551224</v>
      </c>
      <c r="N18" s="7" t="s">
        <v>266</v>
      </c>
      <c r="O18" s="7"/>
    </row>
    <row r="19" spans="1:15" ht="15.6" x14ac:dyDescent="0.3">
      <c r="A19" s="3"/>
      <c r="B19" s="3"/>
      <c r="C19" s="3">
        <f t="shared" si="0"/>
        <v>-21190224</v>
      </c>
      <c r="D19" s="8"/>
      <c r="E19" s="8"/>
      <c r="F19" s="58"/>
      <c r="I19" s="7">
        <v>7</v>
      </c>
      <c r="J19" s="8">
        <v>46305</v>
      </c>
      <c r="K19" s="41"/>
      <c r="L19" s="41">
        <v>2279076</v>
      </c>
      <c r="M19" s="7">
        <f t="shared" si="1"/>
        <v>21272148</v>
      </c>
      <c r="N19" s="7" t="s">
        <v>267</v>
      </c>
      <c r="O19" s="7"/>
    </row>
    <row r="20" spans="1:15" ht="15.6" x14ac:dyDescent="0.3">
      <c r="A20" s="3"/>
      <c r="B20" s="3"/>
      <c r="C20" s="3">
        <f t="shared" si="0"/>
        <v>-21190224</v>
      </c>
      <c r="D20" s="8"/>
      <c r="E20" s="8"/>
      <c r="F20" s="58"/>
      <c r="I20" s="7">
        <v>8</v>
      </c>
      <c r="J20" s="46">
        <v>46307</v>
      </c>
      <c r="K20" s="47"/>
      <c r="L20" s="47">
        <v>759692</v>
      </c>
      <c r="M20" s="48">
        <f t="shared" si="1"/>
        <v>20512456</v>
      </c>
      <c r="N20" s="48" t="s">
        <v>268</v>
      </c>
      <c r="O20" s="7"/>
    </row>
    <row r="21" spans="1:15" ht="15.6" x14ac:dyDescent="0.3">
      <c r="A21" s="3"/>
      <c r="B21" s="3"/>
      <c r="C21" s="3">
        <f t="shared" si="0"/>
        <v>-21190224</v>
      </c>
      <c r="D21" s="8"/>
      <c r="E21" s="8"/>
      <c r="F21" s="58"/>
      <c r="I21" s="7">
        <v>9</v>
      </c>
      <c r="J21" s="8">
        <v>46661</v>
      </c>
      <c r="K21" s="41"/>
      <c r="L21" s="41">
        <v>2279076</v>
      </c>
      <c r="M21" s="7">
        <f t="shared" si="1"/>
        <v>18233380</v>
      </c>
      <c r="N21" s="7" t="s">
        <v>269</v>
      </c>
      <c r="O21" s="7"/>
    </row>
    <row r="22" spans="1:15" ht="15.6" x14ac:dyDescent="0.3">
      <c r="A22" s="3"/>
      <c r="B22" s="3"/>
      <c r="C22" s="3">
        <f t="shared" si="0"/>
        <v>-21190224</v>
      </c>
      <c r="D22" s="8"/>
      <c r="E22" s="8"/>
      <c r="F22" s="58"/>
      <c r="I22" s="7">
        <v>10</v>
      </c>
      <c r="J22" s="46">
        <v>46663</v>
      </c>
      <c r="K22" s="47"/>
      <c r="L22" s="47">
        <v>759692</v>
      </c>
      <c r="M22" s="48">
        <f t="shared" si="1"/>
        <v>17473688</v>
      </c>
      <c r="N22" s="48" t="s">
        <v>268</v>
      </c>
      <c r="O22" s="7"/>
    </row>
    <row r="23" spans="1:15" ht="15.6" x14ac:dyDescent="0.3">
      <c r="A23" s="3"/>
      <c r="B23" s="3"/>
      <c r="C23" s="3">
        <f t="shared" si="0"/>
        <v>-21190224</v>
      </c>
      <c r="D23" s="8"/>
      <c r="E23" s="8"/>
      <c r="F23" s="58"/>
      <c r="I23" s="7">
        <v>11</v>
      </c>
      <c r="J23" s="8">
        <v>46664</v>
      </c>
      <c r="K23" s="41"/>
      <c r="L23" s="41">
        <v>2279076</v>
      </c>
      <c r="M23" s="7">
        <f t="shared" si="1"/>
        <v>15194612</v>
      </c>
      <c r="N23" s="7" t="s">
        <v>270</v>
      </c>
      <c r="O23" s="7"/>
    </row>
    <row r="24" spans="1:15" ht="15.6" x14ac:dyDescent="0.3">
      <c r="A24" s="3"/>
      <c r="B24" s="3"/>
      <c r="C24" s="3">
        <f t="shared" si="0"/>
        <v>-21190224</v>
      </c>
      <c r="D24" s="8"/>
      <c r="E24" s="8"/>
      <c r="F24" s="58"/>
      <c r="I24" s="7">
        <v>12</v>
      </c>
      <c r="J24" s="46">
        <v>46661</v>
      </c>
      <c r="K24" s="47"/>
      <c r="L24" s="47">
        <v>759692</v>
      </c>
      <c r="M24" s="48">
        <f t="shared" si="1"/>
        <v>14434920</v>
      </c>
      <c r="N24" s="48" t="s">
        <v>268</v>
      </c>
      <c r="O24" s="7"/>
    </row>
    <row r="25" spans="1:15" ht="15.6" x14ac:dyDescent="0.3">
      <c r="A25" s="3"/>
      <c r="B25" s="3"/>
      <c r="C25" s="3">
        <f t="shared" si="0"/>
        <v>-21190224</v>
      </c>
      <c r="D25" s="8"/>
      <c r="E25" s="8"/>
      <c r="F25" s="58"/>
      <c r="I25" s="7">
        <v>13</v>
      </c>
      <c r="J25" s="8">
        <v>46667</v>
      </c>
      <c r="K25" s="41"/>
      <c r="L25" s="41">
        <v>2279076</v>
      </c>
      <c r="M25" s="7">
        <f t="shared" si="1"/>
        <v>12155844</v>
      </c>
      <c r="N25" s="7" t="s">
        <v>271</v>
      </c>
      <c r="O25" s="7"/>
    </row>
    <row r="26" spans="1:15" ht="15.6" x14ac:dyDescent="0.3">
      <c r="A26" s="3"/>
      <c r="B26" s="3"/>
      <c r="C26" s="3">
        <f t="shared" si="0"/>
        <v>-21190224</v>
      </c>
      <c r="D26" s="8"/>
      <c r="E26" s="8"/>
      <c r="F26" s="58"/>
      <c r="I26" s="7">
        <v>14</v>
      </c>
      <c r="J26" s="46">
        <v>46669</v>
      </c>
      <c r="K26" s="47"/>
      <c r="L26" s="47">
        <v>759692</v>
      </c>
      <c r="M26" s="48">
        <f t="shared" si="1"/>
        <v>11396152</v>
      </c>
      <c r="N26" s="48" t="s">
        <v>268</v>
      </c>
      <c r="O26" s="7"/>
    </row>
    <row r="27" spans="1:15" ht="15.6" x14ac:dyDescent="0.3">
      <c r="A27" s="3"/>
      <c r="B27" s="3"/>
      <c r="C27" s="3">
        <f t="shared" si="0"/>
        <v>-21190224</v>
      </c>
      <c r="D27" s="7"/>
      <c r="E27" s="8"/>
      <c r="F27" s="58"/>
      <c r="I27" s="7">
        <v>15</v>
      </c>
      <c r="J27" s="8">
        <v>46670</v>
      </c>
      <c r="K27" s="41"/>
      <c r="L27" s="41">
        <v>2279076</v>
      </c>
      <c r="M27" s="7">
        <f t="shared" si="1"/>
        <v>9117076</v>
      </c>
      <c r="N27" s="7" t="s">
        <v>272</v>
      </c>
      <c r="O27" s="7"/>
    </row>
    <row r="28" spans="1:15" ht="15.6" x14ac:dyDescent="0.3">
      <c r="A28" s="3"/>
      <c r="B28" s="3"/>
      <c r="C28" s="3">
        <f t="shared" si="0"/>
        <v>-21190224</v>
      </c>
      <c r="D28" s="7"/>
      <c r="E28" s="8"/>
      <c r="F28" s="58"/>
      <c r="I28" s="7">
        <v>16</v>
      </c>
      <c r="J28" s="8">
        <v>47027</v>
      </c>
      <c r="K28" s="41"/>
      <c r="L28" s="41">
        <v>2279076</v>
      </c>
      <c r="M28" s="7">
        <f t="shared" si="1"/>
        <v>6838000</v>
      </c>
      <c r="N28" s="7" t="s">
        <v>273</v>
      </c>
      <c r="O28" s="7"/>
    </row>
    <row r="29" spans="1:15" ht="15.6" x14ac:dyDescent="0.3">
      <c r="A29" s="3"/>
      <c r="B29" s="3"/>
      <c r="C29" s="3">
        <f>IF(A29&gt;0,C28+A29-B29,C28-B29)</f>
        <v>-21190224</v>
      </c>
      <c r="D29" s="7"/>
      <c r="E29" s="8"/>
      <c r="F29" s="58"/>
      <c r="I29" s="7">
        <v>17</v>
      </c>
      <c r="J29" s="8">
        <v>47030</v>
      </c>
      <c r="K29" s="41"/>
      <c r="L29" s="41">
        <v>2279076</v>
      </c>
      <c r="M29" s="7">
        <f t="shared" si="1"/>
        <v>4558924</v>
      </c>
      <c r="N29" s="7" t="s">
        <v>274</v>
      </c>
      <c r="O29" s="7"/>
    </row>
    <row r="30" spans="1:15" ht="15.6" x14ac:dyDescent="0.3">
      <c r="A30" s="3"/>
      <c r="B30" s="3"/>
      <c r="C30" s="3">
        <f t="shared" si="0"/>
        <v>-21190224</v>
      </c>
      <c r="D30" s="7"/>
      <c r="E30" s="8"/>
      <c r="F30" s="58"/>
      <c r="I30" s="7">
        <v>18</v>
      </c>
      <c r="J30" s="8">
        <v>47033</v>
      </c>
      <c r="K30" s="41"/>
      <c r="L30" s="41">
        <v>2279076</v>
      </c>
      <c r="M30" s="7">
        <f t="shared" si="1"/>
        <v>2279848</v>
      </c>
      <c r="N30" s="7" t="s">
        <v>275</v>
      </c>
      <c r="O30" s="7"/>
    </row>
    <row r="31" spans="1:15" ht="15.6" x14ac:dyDescent="0.3">
      <c r="A31" s="3"/>
      <c r="B31" s="3"/>
      <c r="C31" s="3">
        <f t="shared" si="0"/>
        <v>-21190224</v>
      </c>
      <c r="D31" s="7"/>
      <c r="E31" s="8"/>
      <c r="F31" s="58"/>
      <c r="I31" s="7">
        <v>19</v>
      </c>
      <c r="J31" s="8">
        <v>47036</v>
      </c>
      <c r="K31" s="41"/>
      <c r="L31" s="41">
        <v>2279848</v>
      </c>
      <c r="M31" s="7">
        <f t="shared" si="1"/>
        <v>0</v>
      </c>
      <c r="N31" s="7" t="s">
        <v>276</v>
      </c>
      <c r="O31" s="7"/>
    </row>
    <row r="32" spans="1:15" ht="15.6" x14ac:dyDescent="0.3">
      <c r="A32" s="3"/>
      <c r="B32" s="3"/>
      <c r="C32" s="3">
        <f t="shared" si="0"/>
        <v>-21190224</v>
      </c>
      <c r="D32" s="7"/>
      <c r="E32" s="8"/>
      <c r="F32" s="58"/>
      <c r="I32" s="7"/>
      <c r="J32" s="8"/>
      <c r="K32" s="41"/>
      <c r="L32" s="41"/>
      <c r="M32" s="7">
        <f t="shared" si="1"/>
        <v>0</v>
      </c>
      <c r="N32" s="7"/>
      <c r="O32" s="7"/>
    </row>
    <row r="33" spans="1:15" ht="15.6" x14ac:dyDescent="0.3">
      <c r="A33" s="3"/>
      <c r="B33" s="3"/>
      <c r="C33" s="3">
        <f t="shared" si="0"/>
        <v>-21190224</v>
      </c>
      <c r="D33" s="7"/>
      <c r="E33" s="8"/>
      <c r="F33" s="58"/>
      <c r="I33" s="7"/>
      <c r="J33" s="8"/>
      <c r="K33" s="41"/>
      <c r="L33" s="41"/>
      <c r="M33" s="7">
        <f t="shared" si="1"/>
        <v>0</v>
      </c>
      <c r="N33" s="7"/>
      <c r="O33" s="7"/>
    </row>
    <row r="34" spans="1:15" ht="15.6" x14ac:dyDescent="0.3">
      <c r="A34" s="3"/>
      <c r="B34" s="3"/>
      <c r="C34" s="3">
        <f>IF(A34&gt;0,C33+A34-B34,C33-B34)</f>
        <v>-21190224</v>
      </c>
      <c r="D34" s="7"/>
      <c r="E34" s="8"/>
      <c r="F34" s="58"/>
    </row>
    <row r="35" spans="1:15" ht="15.6" x14ac:dyDescent="0.3">
      <c r="A35" s="3"/>
      <c r="B35" s="3"/>
      <c r="C35" s="3">
        <f t="shared" si="0"/>
        <v>-21190224</v>
      </c>
      <c r="D35" s="7"/>
      <c r="E35" s="8"/>
      <c r="F35" s="58"/>
    </row>
    <row r="36" spans="1:15" ht="15.6" x14ac:dyDescent="0.3">
      <c r="A36" s="3"/>
      <c r="B36" s="3"/>
      <c r="C36" s="3">
        <f t="shared" si="0"/>
        <v>-21190224</v>
      </c>
      <c r="D36" s="7"/>
      <c r="E36" s="8"/>
      <c r="F36" s="58"/>
    </row>
    <row r="37" spans="1:15" ht="15.6" x14ac:dyDescent="0.3">
      <c r="A37" s="3"/>
      <c r="B37" s="3"/>
      <c r="C37" s="3">
        <f t="shared" si="0"/>
        <v>-21190224</v>
      </c>
      <c r="D37" s="7"/>
      <c r="E37" s="8"/>
      <c r="F37" s="58"/>
    </row>
    <row r="38" spans="1:15" ht="15.6" x14ac:dyDescent="0.3">
      <c r="A38" s="3"/>
      <c r="B38" s="3"/>
      <c r="C38" s="3">
        <f t="shared" si="0"/>
        <v>-21190224</v>
      </c>
      <c r="D38" s="7"/>
      <c r="E38" s="8"/>
      <c r="F38" s="58"/>
    </row>
    <row r="39" spans="1:15" ht="15.6" x14ac:dyDescent="0.3">
      <c r="A39" s="3"/>
      <c r="B39" s="3"/>
      <c r="C39" s="3">
        <f t="shared" si="0"/>
        <v>-21190224</v>
      </c>
      <c r="D39" s="7"/>
      <c r="E39" s="8"/>
      <c r="F39" s="58"/>
    </row>
    <row r="40" spans="1:15" ht="15.6" x14ac:dyDescent="0.3">
      <c r="A40" s="3"/>
      <c r="B40" s="3"/>
      <c r="C40" s="3">
        <f t="shared" si="0"/>
        <v>-21190224</v>
      </c>
      <c r="D40" s="7"/>
      <c r="E40" s="8"/>
      <c r="F40" s="58"/>
    </row>
    <row r="41" spans="1:15" ht="15.6" x14ac:dyDescent="0.3">
      <c r="A41" s="3"/>
      <c r="B41" s="3"/>
      <c r="C41" s="3">
        <f t="shared" si="0"/>
        <v>-21190224</v>
      </c>
      <c r="D41" s="7"/>
      <c r="E41" s="8"/>
      <c r="F41" s="58"/>
    </row>
    <row r="42" spans="1:15" ht="15.6" x14ac:dyDescent="0.3">
      <c r="A42" s="3"/>
      <c r="B42" s="3"/>
      <c r="C42" s="3">
        <f t="shared" si="0"/>
        <v>-21190224</v>
      </c>
      <c r="D42" s="7"/>
      <c r="E42" s="8"/>
      <c r="F42" s="58"/>
    </row>
    <row r="43" spans="1:15" ht="15.6" x14ac:dyDescent="0.3">
      <c r="A43" s="3"/>
      <c r="B43" s="3"/>
      <c r="C43" s="3">
        <f t="shared" si="0"/>
        <v>-21190224</v>
      </c>
      <c r="D43" s="7"/>
      <c r="E43" s="8"/>
      <c r="F43" s="58"/>
    </row>
    <row r="44" spans="1:15" ht="15.6" x14ac:dyDescent="0.3">
      <c r="A44" s="3"/>
      <c r="B44" s="3"/>
      <c r="C44" s="3">
        <f t="shared" si="0"/>
        <v>-21190224</v>
      </c>
      <c r="D44" s="7"/>
      <c r="E44" s="8"/>
      <c r="F44" s="58"/>
    </row>
    <row r="45" spans="1:15" ht="15.6" x14ac:dyDescent="0.3">
      <c r="A45" s="3"/>
      <c r="B45" s="3"/>
      <c r="C45" s="3">
        <f t="shared" si="0"/>
        <v>-21190224</v>
      </c>
      <c r="D45" s="7"/>
      <c r="E45" s="8"/>
      <c r="F45" s="58"/>
    </row>
    <row r="46" spans="1:15" ht="15.6" x14ac:dyDescent="0.3">
      <c r="A46" s="3"/>
      <c r="B46" s="3"/>
      <c r="C46" s="3">
        <f t="shared" si="0"/>
        <v>-21190224</v>
      </c>
      <c r="D46" s="7"/>
      <c r="E46" s="8"/>
      <c r="F46" s="58"/>
    </row>
    <row r="47" spans="1:15" ht="15.6" x14ac:dyDescent="0.3">
      <c r="A47" s="3"/>
      <c r="B47" s="3"/>
      <c r="C47" s="3">
        <f t="shared" si="0"/>
        <v>-21190224</v>
      </c>
      <c r="D47" s="7"/>
      <c r="E47" s="8"/>
      <c r="F47" s="58"/>
    </row>
    <row r="48" spans="1:15" ht="15.6" x14ac:dyDescent="0.3">
      <c r="A48" s="3"/>
      <c r="B48" s="3"/>
      <c r="C48" s="3">
        <f t="shared" si="0"/>
        <v>-21190224</v>
      </c>
      <c r="D48" s="7"/>
      <c r="E48" s="8"/>
      <c r="F48" s="58"/>
    </row>
    <row r="49" spans="1:6" ht="15.6" x14ac:dyDescent="0.3">
      <c r="A49" s="3"/>
      <c r="B49" s="3"/>
      <c r="C49" s="3">
        <f t="shared" si="0"/>
        <v>-21190224</v>
      </c>
      <c r="D49" s="7"/>
      <c r="E49" s="8"/>
      <c r="F49" s="58"/>
    </row>
    <row r="50" spans="1:6" ht="15.6" x14ac:dyDescent="0.3">
      <c r="A50" s="3"/>
      <c r="B50" s="3"/>
      <c r="C50" s="3">
        <f t="shared" si="0"/>
        <v>-21190224</v>
      </c>
      <c r="D50" s="7"/>
      <c r="E50" s="8"/>
      <c r="F50" s="58"/>
    </row>
    <row r="51" spans="1:6" ht="15.6" x14ac:dyDescent="0.3">
      <c r="A51" s="3"/>
      <c r="B51" s="3"/>
      <c r="C51" s="3">
        <f t="shared" si="0"/>
        <v>-21190224</v>
      </c>
      <c r="D51" s="7"/>
      <c r="E51" s="8"/>
      <c r="F51" s="58"/>
    </row>
    <row r="52" spans="1:6" ht="15.6" x14ac:dyDescent="0.3">
      <c r="A52" s="3"/>
      <c r="B52" s="3"/>
      <c r="C52" s="3">
        <f t="shared" si="0"/>
        <v>-21190224</v>
      </c>
      <c r="D52" s="7"/>
      <c r="E52" s="8"/>
      <c r="F52" s="58"/>
    </row>
    <row r="53" spans="1:6" ht="15.6" x14ac:dyDescent="0.3">
      <c r="A53" s="3"/>
      <c r="B53" s="3"/>
      <c r="C53" s="3">
        <f t="shared" si="0"/>
        <v>-21190224</v>
      </c>
      <c r="D53" s="7"/>
      <c r="E53" s="8"/>
      <c r="F53" s="58"/>
    </row>
    <row r="54" spans="1:6" ht="15.6" x14ac:dyDescent="0.3">
      <c r="A54" s="3"/>
      <c r="B54" s="3"/>
      <c r="C54" s="3">
        <f t="shared" si="0"/>
        <v>-21190224</v>
      </c>
      <c r="D54" s="7"/>
      <c r="E54" s="8"/>
      <c r="F54" s="58"/>
    </row>
    <row r="55" spans="1:6" ht="15.6" x14ac:dyDescent="0.3">
      <c r="A55" s="3"/>
      <c r="B55" s="3"/>
      <c r="C55" s="3">
        <f t="shared" si="0"/>
        <v>-21190224</v>
      </c>
      <c r="D55" s="7"/>
      <c r="E55" s="8"/>
      <c r="F55" s="58"/>
    </row>
    <row r="56" spans="1:6" ht="15.6" x14ac:dyDescent="0.3">
      <c r="A56" s="3"/>
      <c r="B56" s="3"/>
      <c r="C56" s="3">
        <f t="shared" si="0"/>
        <v>-21190224</v>
      </c>
      <c r="D56" s="7"/>
      <c r="E56" s="8"/>
      <c r="F56" s="58"/>
    </row>
    <row r="57" spans="1:6" ht="15.6" x14ac:dyDescent="0.3">
      <c r="A57" s="3"/>
      <c r="B57" s="3"/>
      <c r="C57" s="3">
        <f t="shared" si="0"/>
        <v>-21190224</v>
      </c>
      <c r="D57" s="7"/>
      <c r="E57" s="8"/>
      <c r="F57" s="58"/>
    </row>
    <row r="58" spans="1:6" ht="15.6" x14ac:dyDescent="0.3">
      <c r="A58" s="3"/>
      <c r="B58" s="3"/>
      <c r="C58" s="3">
        <f t="shared" si="0"/>
        <v>-21190224</v>
      </c>
      <c r="D58" s="7"/>
      <c r="E58" s="8"/>
      <c r="F58" s="58"/>
    </row>
    <row r="59" spans="1:6" ht="15.6" x14ac:dyDescent="0.3">
      <c r="A59" s="3"/>
      <c r="B59" s="3"/>
      <c r="C59" s="3">
        <f t="shared" si="0"/>
        <v>-21190224</v>
      </c>
      <c r="D59" s="7"/>
      <c r="E59" s="8"/>
      <c r="F59" s="58"/>
    </row>
    <row r="60" spans="1:6" ht="15.6" x14ac:dyDescent="0.3">
      <c r="A60" s="3"/>
      <c r="B60" s="3"/>
      <c r="C60" s="3">
        <f t="shared" si="0"/>
        <v>-21190224</v>
      </c>
      <c r="D60" s="7"/>
      <c r="E60" s="8"/>
      <c r="F60" s="58"/>
    </row>
    <row r="61" spans="1:6" ht="15.6" x14ac:dyDescent="0.3">
      <c r="A61" s="3"/>
      <c r="B61" s="3"/>
      <c r="C61" s="3">
        <f t="shared" si="0"/>
        <v>-21190224</v>
      </c>
      <c r="D61" s="7"/>
      <c r="E61" s="8"/>
      <c r="F61" s="58"/>
    </row>
    <row r="62" spans="1:6" ht="15.6" x14ac:dyDescent="0.3">
      <c r="A62" s="3"/>
      <c r="B62" s="3"/>
      <c r="C62" s="3">
        <f t="shared" si="0"/>
        <v>-21190224</v>
      </c>
      <c r="D62" s="7"/>
      <c r="E62" s="8"/>
      <c r="F62" s="58"/>
    </row>
    <row r="63" spans="1:6" ht="15.6" x14ac:dyDescent="0.3">
      <c r="A63" s="3"/>
      <c r="B63" s="3"/>
      <c r="C63" s="3">
        <f t="shared" si="0"/>
        <v>-21190224</v>
      </c>
      <c r="D63" s="7"/>
      <c r="E63" s="8"/>
      <c r="F63" s="58"/>
    </row>
    <row r="64" spans="1:6" ht="15.6" x14ac:dyDescent="0.3">
      <c r="A64" s="3"/>
      <c r="B64" s="3"/>
      <c r="C64" s="3">
        <f t="shared" si="0"/>
        <v>-21190224</v>
      </c>
      <c r="D64" s="7"/>
      <c r="E64" s="8"/>
      <c r="F64" s="58"/>
    </row>
    <row r="65" spans="1:6" ht="15.6" x14ac:dyDescent="0.3">
      <c r="A65" s="3"/>
      <c r="B65" s="3"/>
      <c r="C65" s="3">
        <f t="shared" si="0"/>
        <v>-21190224</v>
      </c>
      <c r="D65" s="7"/>
      <c r="E65" s="8"/>
      <c r="F65" s="58"/>
    </row>
    <row r="66" spans="1:6" ht="15.6" x14ac:dyDescent="0.3">
      <c r="A66" s="3"/>
      <c r="B66" s="3"/>
      <c r="C66" s="3">
        <f t="shared" si="0"/>
        <v>-21190224</v>
      </c>
      <c r="D66" s="7"/>
      <c r="E66" s="8"/>
      <c r="F66" s="58"/>
    </row>
    <row r="67" spans="1:6" ht="15.6" x14ac:dyDescent="0.3">
      <c r="A67" s="3"/>
      <c r="B67" s="3"/>
      <c r="C67" s="3">
        <f t="shared" si="0"/>
        <v>-21190224</v>
      </c>
      <c r="D67" s="7"/>
      <c r="E67" s="8"/>
      <c r="F67" s="58"/>
    </row>
    <row r="68" spans="1:6" ht="15.6" x14ac:dyDescent="0.3">
      <c r="A68" s="3"/>
      <c r="B68" s="3"/>
      <c r="C68" s="3">
        <f t="shared" si="0"/>
        <v>-21190224</v>
      </c>
      <c r="D68" s="52"/>
      <c r="E68" s="8"/>
      <c r="F68" s="58"/>
    </row>
    <row r="69" spans="1:6" ht="15.6" x14ac:dyDescent="0.3">
      <c r="A69" s="3"/>
      <c r="B69" s="3"/>
      <c r="C69" s="3">
        <f t="shared" si="0"/>
        <v>-21190224</v>
      </c>
      <c r="D69" s="7"/>
      <c r="E69" s="8"/>
      <c r="F69" s="58"/>
    </row>
    <row r="70" spans="1:6" ht="15.6" x14ac:dyDescent="0.3">
      <c r="A70" s="3"/>
      <c r="B70" s="3"/>
      <c r="C70" s="3">
        <f t="shared" si="0"/>
        <v>-21190224</v>
      </c>
      <c r="D70" s="7"/>
      <c r="E70" s="8"/>
      <c r="F70" s="58"/>
    </row>
    <row r="71" spans="1:6" ht="15.6" x14ac:dyDescent="0.3">
      <c r="A71" s="3"/>
      <c r="B71" s="3"/>
      <c r="C71" s="3">
        <f t="shared" ref="C71:C134" si="2">IF(A71&gt;0,C70+A71-B71,C70-B71)</f>
        <v>-21190224</v>
      </c>
      <c r="D71" s="7"/>
      <c r="E71" s="8"/>
      <c r="F71" s="58"/>
    </row>
    <row r="72" spans="1:6" ht="15.6" x14ac:dyDescent="0.3">
      <c r="A72" s="3"/>
      <c r="B72" s="3"/>
      <c r="C72" s="3">
        <f t="shared" si="2"/>
        <v>-21190224</v>
      </c>
      <c r="D72" s="7"/>
      <c r="E72" s="8"/>
      <c r="F72" s="58"/>
    </row>
    <row r="73" spans="1:6" ht="15.6" x14ac:dyDescent="0.3">
      <c r="A73" s="3"/>
      <c r="B73" s="3"/>
      <c r="C73" s="3">
        <f t="shared" si="2"/>
        <v>-21190224</v>
      </c>
      <c r="D73" s="7"/>
      <c r="E73" s="8"/>
      <c r="F73" s="58"/>
    </row>
    <row r="74" spans="1:6" ht="15.6" x14ac:dyDescent="0.3">
      <c r="A74" s="3"/>
      <c r="B74" s="3"/>
      <c r="C74" s="3">
        <f t="shared" si="2"/>
        <v>-21190224</v>
      </c>
      <c r="D74" s="7"/>
      <c r="E74" s="8"/>
      <c r="F74" s="58"/>
    </row>
    <row r="75" spans="1:6" ht="15.6" x14ac:dyDescent="0.3">
      <c r="A75" s="3"/>
      <c r="B75" s="3"/>
      <c r="C75" s="3">
        <f t="shared" si="2"/>
        <v>-21190224</v>
      </c>
      <c r="D75" s="7"/>
      <c r="E75" s="8"/>
      <c r="F75" s="58"/>
    </row>
    <row r="76" spans="1:6" ht="15.6" x14ac:dyDescent="0.3">
      <c r="A76" s="3"/>
      <c r="B76" s="3"/>
      <c r="C76" s="3">
        <f t="shared" si="2"/>
        <v>-21190224</v>
      </c>
      <c r="D76" s="7"/>
      <c r="E76" s="8"/>
      <c r="F76" s="58"/>
    </row>
    <row r="77" spans="1:6" ht="15.6" x14ac:dyDescent="0.3">
      <c r="A77" s="3"/>
      <c r="B77" s="3"/>
      <c r="C77" s="3">
        <f t="shared" si="2"/>
        <v>-21190224</v>
      </c>
      <c r="D77" s="7"/>
      <c r="E77" s="8"/>
      <c r="F77" s="58"/>
    </row>
    <row r="78" spans="1:6" ht="15.6" x14ac:dyDescent="0.3">
      <c r="A78" s="3"/>
      <c r="B78" s="3"/>
      <c r="C78" s="3">
        <f t="shared" si="2"/>
        <v>-21190224</v>
      </c>
      <c r="D78" s="7"/>
      <c r="E78" s="8"/>
      <c r="F78" s="58"/>
    </row>
    <row r="79" spans="1:6" ht="15.6" x14ac:dyDescent="0.3">
      <c r="A79" s="3"/>
      <c r="B79" s="3"/>
      <c r="C79" s="3">
        <f t="shared" si="2"/>
        <v>-21190224</v>
      </c>
      <c r="D79" s="7"/>
      <c r="E79" s="8"/>
      <c r="F79" s="58"/>
    </row>
    <row r="80" spans="1:6" ht="15.6" x14ac:dyDescent="0.3">
      <c r="A80" s="3"/>
      <c r="B80" s="3"/>
      <c r="C80" s="3">
        <f t="shared" si="2"/>
        <v>-21190224</v>
      </c>
      <c r="D80" s="7"/>
      <c r="E80" s="8"/>
      <c r="F80" s="58"/>
    </row>
    <row r="81" spans="1:6" ht="15.6" x14ac:dyDescent="0.3">
      <c r="A81" s="3"/>
      <c r="B81" s="3"/>
      <c r="C81" s="3">
        <f t="shared" si="2"/>
        <v>-21190224</v>
      </c>
      <c r="D81" s="7"/>
      <c r="E81" s="8"/>
      <c r="F81" s="58"/>
    </row>
    <row r="82" spans="1:6" ht="15.6" x14ac:dyDescent="0.3">
      <c r="A82" s="3"/>
      <c r="B82" s="3"/>
      <c r="C82" s="3">
        <f t="shared" si="2"/>
        <v>-21190224</v>
      </c>
      <c r="D82" s="7"/>
      <c r="E82" s="8"/>
      <c r="F82" s="58"/>
    </row>
    <row r="83" spans="1:6" ht="15.6" x14ac:dyDescent="0.3">
      <c r="A83" s="3"/>
      <c r="B83" s="3"/>
      <c r="C83" s="3">
        <f t="shared" si="2"/>
        <v>-21190224</v>
      </c>
      <c r="D83" s="7"/>
      <c r="E83" s="8"/>
      <c r="F83" s="58"/>
    </row>
    <row r="84" spans="1:6" ht="15.6" x14ac:dyDescent="0.3">
      <c r="A84" s="3"/>
      <c r="B84" s="3"/>
      <c r="C84" s="3">
        <f t="shared" si="2"/>
        <v>-21190224</v>
      </c>
      <c r="D84" s="7"/>
      <c r="E84" s="8"/>
      <c r="F84" s="58"/>
    </row>
    <row r="85" spans="1:6" ht="15.6" x14ac:dyDescent="0.3">
      <c r="A85" s="3"/>
      <c r="B85" s="3"/>
      <c r="C85" s="3">
        <f t="shared" si="2"/>
        <v>-21190224</v>
      </c>
      <c r="D85" s="7"/>
      <c r="E85" s="8"/>
      <c r="F85" s="58"/>
    </row>
    <row r="86" spans="1:6" ht="15.6" x14ac:dyDescent="0.3">
      <c r="A86" s="3"/>
      <c r="B86" s="3"/>
      <c r="C86" s="3">
        <f t="shared" si="2"/>
        <v>-21190224</v>
      </c>
      <c r="D86" s="7"/>
      <c r="E86" s="8"/>
      <c r="F86" s="58"/>
    </row>
    <row r="87" spans="1:6" ht="15.6" x14ac:dyDescent="0.3">
      <c r="A87" s="3"/>
      <c r="B87" s="3"/>
      <c r="C87" s="3">
        <f t="shared" si="2"/>
        <v>-21190224</v>
      </c>
      <c r="D87" s="7"/>
      <c r="E87" s="8"/>
      <c r="F87" s="7"/>
    </row>
    <row r="88" spans="1:6" ht="15.6" x14ac:dyDescent="0.3">
      <c r="A88" s="3"/>
      <c r="B88" s="3"/>
      <c r="C88" s="3">
        <f t="shared" si="2"/>
        <v>-21190224</v>
      </c>
      <c r="D88" s="7"/>
      <c r="E88" s="8"/>
      <c r="F88" s="7"/>
    </row>
    <row r="89" spans="1:6" ht="15.6" x14ac:dyDescent="0.3">
      <c r="A89" s="3"/>
      <c r="B89" s="3"/>
      <c r="C89" s="3">
        <f t="shared" si="2"/>
        <v>-21190224</v>
      </c>
      <c r="D89" s="7"/>
      <c r="E89" s="8"/>
      <c r="F89" s="7"/>
    </row>
    <row r="90" spans="1:6" ht="15.6" x14ac:dyDescent="0.3">
      <c r="A90" s="3"/>
      <c r="B90" s="3"/>
      <c r="C90" s="3">
        <f t="shared" si="2"/>
        <v>-21190224</v>
      </c>
      <c r="D90" s="7"/>
      <c r="E90" s="8"/>
      <c r="F90" s="7"/>
    </row>
    <row r="91" spans="1:6" ht="15.6" x14ac:dyDescent="0.3">
      <c r="A91" s="3"/>
      <c r="B91" s="3"/>
      <c r="C91" s="3">
        <f t="shared" si="2"/>
        <v>-21190224</v>
      </c>
      <c r="D91" s="7"/>
      <c r="E91" s="8"/>
      <c r="F91" s="7"/>
    </row>
    <row r="92" spans="1:6" ht="15.6" x14ac:dyDescent="0.3">
      <c r="A92" s="3"/>
      <c r="B92" s="3"/>
      <c r="C92" s="3">
        <f t="shared" si="2"/>
        <v>-21190224</v>
      </c>
      <c r="D92" s="7"/>
      <c r="E92" s="8"/>
      <c r="F92" s="7"/>
    </row>
    <row r="93" spans="1:6" ht="15.6" x14ac:dyDescent="0.3">
      <c r="A93" s="3"/>
      <c r="B93" s="3"/>
      <c r="C93" s="3">
        <f t="shared" si="2"/>
        <v>-21190224</v>
      </c>
      <c r="D93" s="7"/>
      <c r="E93" s="8"/>
      <c r="F93" s="7"/>
    </row>
    <row r="94" spans="1:6" ht="15.6" x14ac:dyDescent="0.3">
      <c r="A94" s="3"/>
      <c r="B94" s="3"/>
      <c r="C94" s="3">
        <f t="shared" si="2"/>
        <v>-21190224</v>
      </c>
      <c r="D94" s="7"/>
      <c r="E94" s="8"/>
      <c r="F94" s="7"/>
    </row>
    <row r="95" spans="1:6" ht="15.6" x14ac:dyDescent="0.3">
      <c r="A95" s="3"/>
      <c r="B95" s="3"/>
      <c r="C95" s="3">
        <f t="shared" si="2"/>
        <v>-21190224</v>
      </c>
      <c r="D95" s="7"/>
      <c r="E95" s="8"/>
      <c r="F95" s="7"/>
    </row>
    <row r="96" spans="1:6" ht="15.6" x14ac:dyDescent="0.3">
      <c r="A96" s="3"/>
      <c r="B96" s="3"/>
      <c r="C96" s="3">
        <f t="shared" si="2"/>
        <v>-21190224</v>
      </c>
      <c r="D96" s="7"/>
      <c r="E96" s="8"/>
      <c r="F96" s="7"/>
    </row>
    <row r="97" spans="1:6" ht="15.6" x14ac:dyDescent="0.3">
      <c r="A97" s="3"/>
      <c r="B97" s="3"/>
      <c r="C97" s="3">
        <f t="shared" si="2"/>
        <v>-21190224</v>
      </c>
      <c r="D97" s="7"/>
      <c r="E97" s="8"/>
      <c r="F97" s="7"/>
    </row>
    <row r="98" spans="1:6" ht="15.6" x14ac:dyDescent="0.3">
      <c r="A98" s="3"/>
      <c r="B98" s="3"/>
      <c r="C98" s="3">
        <f t="shared" si="2"/>
        <v>-21190224</v>
      </c>
      <c r="D98" s="7"/>
      <c r="E98" s="8"/>
      <c r="F98" s="7"/>
    </row>
    <row r="99" spans="1:6" ht="15.6" x14ac:dyDescent="0.3">
      <c r="A99" s="3"/>
      <c r="B99" s="3"/>
      <c r="C99" s="3">
        <f t="shared" si="2"/>
        <v>-21190224</v>
      </c>
      <c r="D99" s="7"/>
      <c r="E99" s="8"/>
      <c r="F99" s="7"/>
    </row>
    <row r="100" spans="1:6" ht="15.6" x14ac:dyDescent="0.3">
      <c r="A100" s="3"/>
      <c r="B100" s="3"/>
      <c r="C100" s="3">
        <f t="shared" si="2"/>
        <v>-21190224</v>
      </c>
      <c r="D100" s="7"/>
      <c r="E100" s="8"/>
      <c r="F100" s="7"/>
    </row>
    <row r="101" spans="1:6" ht="15.6" x14ac:dyDescent="0.3">
      <c r="A101" s="3"/>
      <c r="B101" s="3"/>
      <c r="C101" s="3">
        <f t="shared" si="2"/>
        <v>-21190224</v>
      </c>
      <c r="D101" s="7"/>
      <c r="E101" s="8"/>
      <c r="F101" s="7"/>
    </row>
    <row r="102" spans="1:6" ht="15.6" x14ac:dyDescent="0.3">
      <c r="A102" s="3"/>
      <c r="B102" s="3"/>
      <c r="C102" s="3">
        <f t="shared" si="2"/>
        <v>-21190224</v>
      </c>
      <c r="D102" s="7"/>
      <c r="E102" s="8"/>
      <c r="F102" s="7"/>
    </row>
    <row r="103" spans="1:6" ht="15.6" x14ac:dyDescent="0.3">
      <c r="A103" s="3"/>
      <c r="B103" s="3"/>
      <c r="C103" s="3">
        <f t="shared" si="2"/>
        <v>-21190224</v>
      </c>
      <c r="D103" s="7"/>
      <c r="E103" s="8"/>
      <c r="F103" s="7"/>
    </row>
    <row r="104" spans="1:6" ht="15.6" x14ac:dyDescent="0.3">
      <c r="A104" s="3"/>
      <c r="B104" s="3"/>
      <c r="C104" s="3">
        <f t="shared" si="2"/>
        <v>-21190224</v>
      </c>
      <c r="D104" s="7"/>
      <c r="E104" s="8"/>
      <c r="F104" s="7"/>
    </row>
    <row r="105" spans="1:6" ht="15.6" x14ac:dyDescent="0.3">
      <c r="A105" s="3"/>
      <c r="B105" s="3"/>
      <c r="C105" s="3">
        <f t="shared" si="2"/>
        <v>-21190224</v>
      </c>
      <c r="D105" s="7"/>
      <c r="E105" s="8"/>
      <c r="F105" s="7"/>
    </row>
    <row r="106" spans="1:6" ht="15.6" x14ac:dyDescent="0.3">
      <c r="A106" s="3"/>
      <c r="B106" s="3"/>
      <c r="C106" s="3">
        <f t="shared" si="2"/>
        <v>-21190224</v>
      </c>
      <c r="D106" s="7"/>
      <c r="E106" s="8"/>
      <c r="F106" s="7"/>
    </row>
    <row r="107" spans="1:6" ht="15.6" x14ac:dyDescent="0.3">
      <c r="A107" s="3"/>
      <c r="B107" s="3"/>
      <c r="C107" s="3">
        <f t="shared" si="2"/>
        <v>-21190224</v>
      </c>
      <c r="D107" s="7"/>
      <c r="E107" s="8"/>
      <c r="F107" s="7"/>
    </row>
    <row r="108" spans="1:6" ht="15.6" x14ac:dyDescent="0.3">
      <c r="A108" s="3"/>
      <c r="B108" s="3"/>
      <c r="C108" s="3">
        <f t="shared" si="2"/>
        <v>-21190224</v>
      </c>
      <c r="D108" s="7"/>
      <c r="E108" s="8"/>
      <c r="F108" s="7"/>
    </row>
    <row r="109" spans="1:6" ht="15.6" x14ac:dyDescent="0.3">
      <c r="A109" s="7"/>
      <c r="B109" s="7"/>
      <c r="C109" s="7">
        <f t="shared" si="2"/>
        <v>-21190224</v>
      </c>
      <c r="D109" s="7"/>
      <c r="E109" s="8"/>
      <c r="F109" s="7"/>
    </row>
    <row r="110" spans="1:6" ht="15.6" x14ac:dyDescent="0.3">
      <c r="A110" s="7"/>
      <c r="B110" s="7"/>
      <c r="C110" s="7">
        <f t="shared" si="2"/>
        <v>-21190224</v>
      </c>
      <c r="D110" s="7"/>
      <c r="E110" s="8"/>
      <c r="F110" s="7"/>
    </row>
    <row r="111" spans="1:6" ht="15.6" x14ac:dyDescent="0.3">
      <c r="A111" s="7"/>
      <c r="B111" s="7"/>
      <c r="C111" s="7">
        <f t="shared" si="2"/>
        <v>-21190224</v>
      </c>
      <c r="D111" s="7"/>
      <c r="E111" s="8"/>
      <c r="F111" s="7"/>
    </row>
    <row r="112" spans="1:6" ht="15.6" x14ac:dyDescent="0.3">
      <c r="A112" s="7"/>
      <c r="B112" s="7"/>
      <c r="C112" s="7">
        <f t="shared" si="2"/>
        <v>-21190224</v>
      </c>
      <c r="D112" s="7"/>
      <c r="E112" s="8"/>
      <c r="F112" s="7"/>
    </row>
    <row r="113" spans="1:6" ht="15.6" x14ac:dyDescent="0.3">
      <c r="A113" s="7"/>
      <c r="B113" s="7"/>
      <c r="C113" s="7">
        <f t="shared" si="2"/>
        <v>-21190224</v>
      </c>
      <c r="D113" s="7"/>
      <c r="E113" s="8"/>
      <c r="F113" s="7"/>
    </row>
    <row r="114" spans="1:6" ht="15.6" x14ac:dyDescent="0.3">
      <c r="A114" s="7"/>
      <c r="B114" s="7"/>
      <c r="C114" s="7">
        <f t="shared" si="2"/>
        <v>-21190224</v>
      </c>
      <c r="D114" s="7"/>
      <c r="E114" s="8"/>
      <c r="F114" s="7"/>
    </row>
    <row r="115" spans="1:6" ht="15.6" x14ac:dyDescent="0.3">
      <c r="A115" s="7"/>
      <c r="B115" s="7"/>
      <c r="C115" s="7">
        <f t="shared" si="2"/>
        <v>-21190224</v>
      </c>
      <c r="D115" s="7"/>
      <c r="E115" s="8"/>
      <c r="F115" s="7"/>
    </row>
    <row r="116" spans="1:6" ht="15.6" x14ac:dyDescent="0.3">
      <c r="A116" s="7"/>
      <c r="B116" s="7"/>
      <c r="C116" s="7">
        <f t="shared" si="2"/>
        <v>-21190224</v>
      </c>
      <c r="D116" s="7"/>
      <c r="E116" s="8"/>
      <c r="F116" s="7"/>
    </row>
    <row r="117" spans="1:6" ht="15.6" x14ac:dyDescent="0.3">
      <c r="A117" s="7"/>
      <c r="B117" s="7"/>
      <c r="C117" s="7">
        <f t="shared" si="2"/>
        <v>-21190224</v>
      </c>
      <c r="D117" s="7"/>
      <c r="E117" s="8"/>
      <c r="F117" s="7"/>
    </row>
    <row r="118" spans="1:6" ht="15.6" x14ac:dyDescent="0.3">
      <c r="A118" s="7"/>
      <c r="B118" s="7"/>
      <c r="C118" s="7">
        <f t="shared" si="2"/>
        <v>-21190224</v>
      </c>
      <c r="D118" s="7"/>
      <c r="E118" s="8"/>
      <c r="F118" s="7"/>
    </row>
    <row r="119" spans="1:6" ht="15.6" x14ac:dyDescent="0.3">
      <c r="A119" s="7"/>
      <c r="B119" s="7"/>
      <c r="C119" s="7">
        <f t="shared" si="2"/>
        <v>-21190224</v>
      </c>
      <c r="D119" s="7"/>
      <c r="E119" s="8"/>
      <c r="F119" s="7"/>
    </row>
    <row r="120" spans="1:6" ht="15.6" x14ac:dyDescent="0.3">
      <c r="A120" s="7"/>
      <c r="B120" s="7"/>
      <c r="C120" s="7">
        <f t="shared" si="2"/>
        <v>-21190224</v>
      </c>
      <c r="D120" s="7"/>
      <c r="E120" s="8"/>
      <c r="F120" s="7"/>
    </row>
    <row r="121" spans="1:6" ht="15.6" x14ac:dyDescent="0.3">
      <c r="A121" s="7"/>
      <c r="B121" s="7"/>
      <c r="C121" s="7">
        <f t="shared" si="2"/>
        <v>-21190224</v>
      </c>
      <c r="D121" s="7"/>
      <c r="E121" s="8"/>
      <c r="F121" s="7"/>
    </row>
    <row r="122" spans="1:6" ht="15.6" x14ac:dyDescent="0.3">
      <c r="A122" s="7"/>
      <c r="B122" s="7"/>
      <c r="C122" s="7">
        <f t="shared" si="2"/>
        <v>-21190224</v>
      </c>
      <c r="D122" s="7"/>
      <c r="E122" s="8"/>
      <c r="F122" s="7"/>
    </row>
    <row r="123" spans="1:6" ht="15.6" x14ac:dyDescent="0.3">
      <c r="A123" s="7"/>
      <c r="B123" s="7"/>
      <c r="C123" s="7">
        <f t="shared" si="2"/>
        <v>-21190224</v>
      </c>
      <c r="D123" s="7"/>
      <c r="E123" s="8"/>
      <c r="F123" s="7"/>
    </row>
    <row r="124" spans="1:6" ht="15.6" x14ac:dyDescent="0.3">
      <c r="A124" s="7"/>
      <c r="B124" s="7"/>
      <c r="C124" s="7">
        <f t="shared" si="2"/>
        <v>-21190224</v>
      </c>
      <c r="D124" s="7"/>
      <c r="E124" s="8"/>
      <c r="F124" s="7"/>
    </row>
    <row r="125" spans="1:6" ht="15.6" x14ac:dyDescent="0.3">
      <c r="A125" s="7"/>
      <c r="B125" s="7"/>
      <c r="C125" s="7">
        <f t="shared" si="2"/>
        <v>-21190224</v>
      </c>
      <c r="D125" s="7"/>
      <c r="E125" s="8"/>
      <c r="F125" s="7"/>
    </row>
    <row r="126" spans="1:6" ht="15.6" x14ac:dyDescent="0.3">
      <c r="A126" s="7"/>
      <c r="B126" s="7"/>
      <c r="C126" s="7">
        <f t="shared" si="2"/>
        <v>-21190224</v>
      </c>
      <c r="D126" s="7"/>
      <c r="E126" s="8"/>
      <c r="F126" s="7"/>
    </row>
    <row r="127" spans="1:6" ht="15.6" x14ac:dyDescent="0.3">
      <c r="A127" s="7"/>
      <c r="B127" s="7"/>
      <c r="C127" s="7">
        <f t="shared" si="2"/>
        <v>-21190224</v>
      </c>
      <c r="D127" s="7"/>
      <c r="E127" s="8"/>
      <c r="F127" s="7"/>
    </row>
    <row r="128" spans="1:6" ht="15.6" x14ac:dyDescent="0.3">
      <c r="A128" s="7"/>
      <c r="B128" s="7"/>
      <c r="C128" s="7">
        <f t="shared" si="2"/>
        <v>-21190224</v>
      </c>
      <c r="D128" s="7"/>
      <c r="E128" s="8"/>
      <c r="F128" s="7"/>
    </row>
    <row r="129" spans="1:6" ht="15.6" x14ac:dyDescent="0.3">
      <c r="A129" s="7"/>
      <c r="B129" s="7"/>
      <c r="C129" s="7">
        <f t="shared" si="2"/>
        <v>-21190224</v>
      </c>
      <c r="D129" s="7"/>
      <c r="E129" s="8"/>
      <c r="F129" s="7"/>
    </row>
    <row r="130" spans="1:6" ht="15.6" x14ac:dyDescent="0.3">
      <c r="A130" s="7"/>
      <c r="B130" s="7"/>
      <c r="C130" s="7">
        <f t="shared" si="2"/>
        <v>-21190224</v>
      </c>
      <c r="D130" s="7"/>
      <c r="E130" s="8"/>
      <c r="F130" s="7"/>
    </row>
    <row r="131" spans="1:6" ht="15.6" x14ac:dyDescent="0.3">
      <c r="A131" s="7"/>
      <c r="B131" s="7"/>
      <c r="C131" s="7">
        <f t="shared" si="2"/>
        <v>-21190224</v>
      </c>
      <c r="D131" s="7"/>
      <c r="E131" s="8"/>
      <c r="F131" s="7"/>
    </row>
    <row r="132" spans="1:6" ht="15.6" x14ac:dyDescent="0.3">
      <c r="A132" s="7"/>
      <c r="B132" s="7"/>
      <c r="C132" s="7">
        <f t="shared" si="2"/>
        <v>-21190224</v>
      </c>
      <c r="D132" s="7"/>
      <c r="E132" s="8"/>
      <c r="F132" s="7"/>
    </row>
    <row r="133" spans="1:6" ht="15.6" x14ac:dyDescent="0.3">
      <c r="A133" s="7"/>
      <c r="B133" s="7"/>
      <c r="C133" s="7">
        <f t="shared" si="2"/>
        <v>-21190224</v>
      </c>
      <c r="D133" s="7"/>
      <c r="E133" s="8"/>
      <c r="F133" s="7"/>
    </row>
    <row r="134" spans="1:6" ht="15.6" x14ac:dyDescent="0.3">
      <c r="A134" s="7"/>
      <c r="B134" s="7"/>
      <c r="C134" s="7">
        <f t="shared" si="2"/>
        <v>-21190224</v>
      </c>
      <c r="D134" s="7"/>
      <c r="E134" s="8"/>
      <c r="F134" s="7"/>
    </row>
    <row r="135" spans="1:6" ht="15.6" x14ac:dyDescent="0.3">
      <c r="A135" s="7"/>
      <c r="B135" s="7"/>
      <c r="C135" s="7">
        <f t="shared" ref="C135:C147" si="3">IF(A135&gt;0,C134+A135-B135,C134-B135)</f>
        <v>-21190224</v>
      </c>
      <c r="D135" s="7"/>
      <c r="E135" s="8"/>
      <c r="F135" s="7"/>
    </row>
    <row r="136" spans="1:6" ht="15.6" x14ac:dyDescent="0.3">
      <c r="A136" s="7"/>
      <c r="B136" s="7"/>
      <c r="C136" s="7">
        <f t="shared" si="3"/>
        <v>-21190224</v>
      </c>
      <c r="D136" s="7"/>
      <c r="E136" s="8"/>
      <c r="F136" s="7"/>
    </row>
    <row r="137" spans="1:6" ht="15.6" x14ac:dyDescent="0.3">
      <c r="A137" s="7"/>
      <c r="B137" s="7"/>
      <c r="C137" s="7">
        <f t="shared" si="3"/>
        <v>-21190224</v>
      </c>
      <c r="D137" s="7"/>
      <c r="E137" s="8"/>
      <c r="F137" s="7"/>
    </row>
    <row r="138" spans="1:6" ht="15.6" x14ac:dyDescent="0.3">
      <c r="A138" s="7"/>
      <c r="B138" s="7"/>
      <c r="C138" s="7">
        <f t="shared" si="3"/>
        <v>-21190224</v>
      </c>
      <c r="D138" s="7"/>
      <c r="E138" s="8"/>
      <c r="F138" s="7"/>
    </row>
    <row r="139" spans="1:6" ht="15.6" x14ac:dyDescent="0.3">
      <c r="A139" s="7"/>
      <c r="B139" s="7"/>
      <c r="C139" s="7">
        <f t="shared" si="3"/>
        <v>-21190224</v>
      </c>
      <c r="D139" s="7"/>
      <c r="E139" s="8"/>
      <c r="F139" s="7"/>
    </row>
    <row r="140" spans="1:6" ht="15.6" x14ac:dyDescent="0.3">
      <c r="A140" s="7"/>
      <c r="B140" s="7"/>
      <c r="C140" s="7">
        <f t="shared" si="3"/>
        <v>-21190224</v>
      </c>
      <c r="D140" s="7"/>
      <c r="E140" s="8"/>
      <c r="F140" s="7"/>
    </row>
    <row r="141" spans="1:6" ht="15.6" x14ac:dyDescent="0.3">
      <c r="A141" s="7"/>
      <c r="B141" s="7"/>
      <c r="C141" s="7">
        <f t="shared" si="3"/>
        <v>-21190224</v>
      </c>
      <c r="D141" s="7"/>
      <c r="E141" s="8"/>
      <c r="F141" s="7"/>
    </row>
    <row r="142" spans="1:6" ht="15.6" x14ac:dyDescent="0.3">
      <c r="A142" s="7"/>
      <c r="B142" s="7"/>
      <c r="C142" s="7">
        <f t="shared" si="3"/>
        <v>-21190224</v>
      </c>
      <c r="D142" s="7"/>
      <c r="E142" s="8"/>
      <c r="F142" s="7"/>
    </row>
    <row r="143" spans="1:6" ht="15.6" x14ac:dyDescent="0.3">
      <c r="A143" s="7"/>
      <c r="B143" s="7"/>
      <c r="C143" s="7">
        <f t="shared" si="3"/>
        <v>-21190224</v>
      </c>
      <c r="D143" s="7"/>
      <c r="E143" s="8"/>
      <c r="F143" s="7"/>
    </row>
    <row r="144" spans="1:6" ht="15.6" x14ac:dyDescent="0.3">
      <c r="A144" s="7"/>
      <c r="B144" s="7"/>
      <c r="C144" s="7">
        <f t="shared" si="3"/>
        <v>-21190224</v>
      </c>
      <c r="D144" s="7"/>
      <c r="E144" s="8"/>
      <c r="F144" s="7"/>
    </row>
    <row r="145" spans="1:6" ht="15.6" x14ac:dyDescent="0.3">
      <c r="A145" s="7"/>
      <c r="B145" s="7"/>
      <c r="C145" s="7">
        <f t="shared" si="3"/>
        <v>-21190224</v>
      </c>
      <c r="D145" s="7"/>
      <c r="E145" s="8"/>
      <c r="F145" s="7"/>
    </row>
    <row r="146" spans="1:6" ht="15.6" x14ac:dyDescent="0.3">
      <c r="A146" s="7"/>
      <c r="B146" s="7"/>
      <c r="C146" s="7">
        <f t="shared" si="3"/>
        <v>-21190224</v>
      </c>
      <c r="D146" s="7"/>
      <c r="E146" s="8"/>
      <c r="F146" s="7"/>
    </row>
    <row r="147" spans="1:6" ht="15.6" x14ac:dyDescent="0.3">
      <c r="A147" s="7"/>
      <c r="B147" s="7"/>
      <c r="C147" s="7">
        <f t="shared" si="3"/>
        <v>-21190224</v>
      </c>
      <c r="D147" s="7"/>
      <c r="E147" s="8"/>
      <c r="F147" s="7"/>
    </row>
    <row r="148" spans="1:6" ht="15.6" x14ac:dyDescent="0.3">
      <c r="A148" s="7"/>
      <c r="B148" s="7"/>
      <c r="C148" s="7"/>
      <c r="D148" s="7"/>
      <c r="E148" s="8"/>
      <c r="F148" s="7"/>
    </row>
    <row r="149" spans="1:6" ht="15.6" x14ac:dyDescent="0.3">
      <c r="A149" s="7"/>
      <c r="B149" s="7"/>
      <c r="C149" s="7"/>
      <c r="D149" s="7"/>
      <c r="E149" s="8"/>
      <c r="F149" s="7"/>
    </row>
    <row r="150" spans="1:6" ht="15.6" x14ac:dyDescent="0.3">
      <c r="A150" s="7"/>
      <c r="B150" s="7"/>
      <c r="C150" s="7">
        <f>IF(A150&gt;0,C147+A150-B150,C147-B150)</f>
        <v>-21190224</v>
      </c>
      <c r="D150" s="7"/>
      <c r="E150" s="8"/>
      <c r="F150" s="7"/>
    </row>
  </sheetData>
  <mergeCells count="4">
    <mergeCell ref="A3:D3"/>
    <mergeCell ref="N8:O8"/>
    <mergeCell ref="M7:O7"/>
    <mergeCell ref="I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ابوعمر السوم </vt:lpstr>
      <vt:lpstr>الحج محمد جبر</vt:lpstr>
      <vt:lpstr>علاء محمد جبر</vt:lpstr>
      <vt:lpstr>ياسر الخراط</vt:lpstr>
      <vt:lpstr>الحج علاء حسن</vt:lpstr>
      <vt:lpstr>الماس</vt:lpstr>
      <vt:lpstr>احمد سعيد</vt:lpstr>
      <vt:lpstr>بلاط </vt:lpstr>
      <vt:lpstr>الحج جهاد عبدالمنعم</vt:lpstr>
      <vt:lpstr>الحج محسن حمدي</vt:lpstr>
      <vt:lpstr>السيد جحا</vt:lpstr>
      <vt:lpstr>الحج حسين البابا</vt:lpstr>
      <vt:lpstr>الحج محمد السيد</vt:lpstr>
      <vt:lpstr>الحج طلعت سليمان</vt:lpstr>
      <vt:lpstr>م محمد عبدالمنعم البرنس </vt:lpstr>
      <vt:lpstr>الحج مصطفي سالم</vt:lpstr>
      <vt:lpstr>الحج وليد مطر</vt:lpstr>
      <vt:lpstr>صيدلية التجمع</vt:lpstr>
      <vt:lpstr>'الحج علاء حسن'!Print_Area</vt:lpstr>
      <vt:lpstr>'الحج علاء حسن'!Print_Titles</vt:lpstr>
      <vt:lpstr>'الحج محمد جبر'!Print_Titles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2026-10-20T22:13:58Z</dcterms:modified>
</cp:coreProperties>
</file>